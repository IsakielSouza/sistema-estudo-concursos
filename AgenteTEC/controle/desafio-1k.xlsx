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 Mensal" sheetId="1" state="visible" r:id="rId1"/>
    <sheet xmlns:r="http://schemas.openxmlformats.org/officeDocument/2006/relationships" name="Diário" sheetId="2" state="visible" r:id="rId2"/>
    <sheet xmlns:r="http://schemas.openxmlformats.org/officeDocument/2006/relationships" name="Mapa Tem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b val="1"/>
    </font>
    <font>
      <b val="1"/>
      <color rgb="00FFFFFF"/>
      <sz val="11"/>
    </font>
    <font>
      <i val="1"/>
      <color rgb="0080808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1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12" customWidth="1" min="3" max="3"/>
    <col width="16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DESAFIO 1K — PLANO MENSAL PRF</t>
        </is>
      </c>
    </row>
    <row r="3">
      <c r="A3" s="2" t="inlineStr">
        <is>
          <t>Mês/Ano:</t>
        </is>
      </c>
      <c r="B3" t="inlineStr">
        <is>
          <t>2026-04</t>
        </is>
      </c>
      <c r="D3" s="2" t="inlineStr">
        <is>
          <t>Data do desafio:</t>
        </is>
      </c>
      <c r="E3" t="inlineStr">
        <is>
          <t>2026-04-30</t>
        </is>
      </c>
    </row>
    <row r="5">
      <c r="A5" s="3" t="inlineStr">
        <is>
          <t>#</t>
        </is>
      </c>
      <c r="B5" s="3" t="inlineStr">
        <is>
          <t>Matéria</t>
        </is>
      </c>
      <c r="C5" s="3" t="inlineStr">
        <is>
          <t>% banco</t>
        </is>
      </c>
      <c r="D5" s="3" t="inlineStr">
        <is>
          <t>Meta planejada</t>
        </is>
      </c>
      <c r="E5" s="3" t="inlineStr">
        <is>
          <t>Feitas</t>
        </is>
      </c>
      <c r="F5" s="3" t="inlineStr">
        <is>
          <t>Acertos</t>
        </is>
      </c>
      <c r="G5" s="3" t="inlineStr">
        <is>
          <t>% Acerto</t>
        </is>
      </c>
    </row>
    <row r="6">
      <c r="A6" s="4" t="n">
        <v>1</v>
      </c>
      <c r="B6" s="5" t="inlineStr">
        <is>
          <t>Língua Portuguesa</t>
        </is>
      </c>
      <c r="C6" s="6" t="n">
        <v>0.6081</v>
      </c>
      <c r="D6" s="4" t="n">
        <v>608</v>
      </c>
      <c r="E6" s="4" t="n">
        <v>0</v>
      </c>
      <c r="F6" s="4" t="n">
        <v>0</v>
      </c>
      <c r="G6" s="6">
        <f>IF(E6=0,0,F6/E6)</f>
        <v/>
      </c>
    </row>
    <row r="7">
      <c r="A7" s="4" t="n">
        <v>2</v>
      </c>
      <c r="B7" s="5" t="inlineStr">
        <is>
          <t>Direito Constitucional</t>
        </is>
      </c>
      <c r="C7" s="6" t="n">
        <v>0.1379</v>
      </c>
      <c r="D7" s="4" t="n">
        <v>138</v>
      </c>
      <c r="E7" s="4" t="n">
        <v>0</v>
      </c>
      <c r="F7" s="4" t="n">
        <v>0</v>
      </c>
      <c r="G7" s="6">
        <f>IF(E7=0,0,F7/E7)</f>
        <v/>
      </c>
    </row>
    <row r="8">
      <c r="A8" s="4" t="n">
        <v>3</v>
      </c>
      <c r="B8" s="5" t="inlineStr">
        <is>
          <t>Direito Administrativo</t>
        </is>
      </c>
      <c r="C8" s="6" t="n">
        <v>0.1168</v>
      </c>
      <c r="D8" s="4" t="n">
        <v>117</v>
      </c>
      <c r="E8" s="4" t="n">
        <v>0</v>
      </c>
      <c r="F8" s="4" t="n">
        <v>0</v>
      </c>
      <c r="G8" s="6">
        <f>IF(E8=0,0,F8/E8)</f>
        <v/>
      </c>
    </row>
    <row r="9">
      <c r="A9" s="4" t="n">
        <v>4</v>
      </c>
      <c r="B9" s="5" t="inlineStr">
        <is>
          <t>Informática</t>
        </is>
      </c>
      <c r="C9" s="6" t="n">
        <v>0.1044</v>
      </c>
      <c r="D9" s="4" t="n">
        <v>104</v>
      </c>
      <c r="E9" s="4" t="n">
        <v>0</v>
      </c>
      <c r="F9" s="4" t="n">
        <v>0</v>
      </c>
      <c r="G9" s="6">
        <f>IF(E9=0,0,F9/E9)</f>
        <v/>
      </c>
    </row>
    <row r="10">
      <c r="A10" s="4" t="n">
        <v>5</v>
      </c>
      <c r="B10" s="5" t="inlineStr">
        <is>
          <t>Legislação de Trânsito (CTB)</t>
        </is>
      </c>
      <c r="C10" s="6" t="n">
        <v>0.0313</v>
      </c>
      <c r="D10" s="4" t="n">
        <v>31</v>
      </c>
      <c r="E10" s="4" t="n">
        <v>0</v>
      </c>
      <c r="F10" s="4" t="n">
        <v>0</v>
      </c>
      <c r="G10" s="6">
        <f>IF(E10=0,0,F10/E10)</f>
        <v/>
      </c>
    </row>
    <row r="11">
      <c r="A11" s="4" t="n">
        <v>6</v>
      </c>
      <c r="B11" s="5" t="inlineStr">
        <is>
          <t>Outros (Arquitetura/Obras/Licitação)</t>
        </is>
      </c>
      <c r="C11" s="6" t="n">
        <v>0.0048</v>
      </c>
      <c r="D11" s="4" t="n">
        <v>2</v>
      </c>
      <c r="E11" s="4" t="n">
        <v>0</v>
      </c>
      <c r="F11" s="4" t="n">
        <v>0</v>
      </c>
      <c r="G11" s="6">
        <f>IF(E11=0,0,F11/E11)</f>
        <v/>
      </c>
    </row>
    <row r="12">
      <c r="A12" s="7" t="n"/>
      <c r="B12" s="8" t="inlineStr">
        <is>
          <t>TOTAL</t>
        </is>
      </c>
      <c r="C12" s="7" t="n"/>
      <c r="D12" s="8">
        <f>SUM(D6:D11)</f>
        <v/>
      </c>
      <c r="E12" s="8">
        <f>SUM(E6:E11)</f>
        <v/>
      </c>
      <c r="F12" s="8">
        <f>SUM(F6:F11)</f>
        <v/>
      </c>
      <c r="G12" s="9">
        <f>IF(E12=0,0,F12/E12)</f>
        <v/>
      </c>
    </row>
    <row r="14">
      <c r="A14" s="2" t="inlineStr">
        <is>
          <t>Observações:</t>
        </is>
      </c>
    </row>
    <row r="15">
      <c r="A15" t="inlineStr">
        <is>
          <t>• Limite de 1000 questões por caderno/filtro no TEC.</t>
        </is>
      </c>
    </row>
    <row r="16">
      <c r="A16" t="inlineStr">
        <is>
          <t>• Use o filtro 'Não respondidas' como padrão.</t>
        </is>
      </c>
    </row>
    <row r="17">
      <c r="A17" t="inlineStr">
        <is>
          <t>• Distribuição proporcional ao banco do TEC (CONTROLE 1K Q.docx).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8" customWidth="1" min="3" max="3"/>
    <col width="32" customWidth="1" min="4" max="4"/>
    <col width="11" customWidth="1" min="5" max="5"/>
    <col width="10" customWidth="1" min="6" max="6"/>
    <col width="11" customWidth="1" min="7" max="7"/>
    <col width="12" customWidth="1" min="8" max="8"/>
  </cols>
  <sheetData>
    <row r="1">
      <c r="A1" s="1" t="inlineStr">
        <is>
          <t>LOG DIÁRIO DE QUESTÕES</t>
        </is>
      </c>
    </row>
    <row r="3">
      <c r="A3" s="3" t="inlineStr">
        <is>
          <t>Data</t>
        </is>
      </c>
      <c r="B3" s="3" t="inlineStr">
        <is>
          <t>Matéria</t>
        </is>
      </c>
      <c r="C3" s="3" t="inlineStr">
        <is>
          <t>Tópico</t>
        </is>
      </c>
      <c r="D3" s="3" t="inlineStr">
        <is>
          <t>Caderno TEC</t>
        </is>
      </c>
      <c r="E3" s="3" t="inlineStr">
        <is>
          <t>Qtd feita</t>
        </is>
      </c>
      <c r="F3" s="3" t="inlineStr">
        <is>
          <t>Acertos</t>
        </is>
      </c>
      <c r="G3" s="3" t="inlineStr">
        <is>
          <t>% Acerto</t>
        </is>
      </c>
      <c r="H3" s="3" t="inlineStr">
        <is>
          <t>Tempo (min)</t>
        </is>
      </c>
    </row>
    <row r="4">
      <c r="A4" s="5" t="n"/>
      <c r="B4" s="5" t="n"/>
      <c r="C4" s="5" t="n"/>
      <c r="D4" s="5" t="n"/>
      <c r="E4" s="5" t="n"/>
      <c r="F4" s="5" t="n"/>
      <c r="G4" s="6">
        <f>IF(E4="","",IF(E4=0,0,F4/E4))</f>
        <v/>
      </c>
      <c r="H4" s="5" t="n"/>
    </row>
    <row r="5">
      <c r="A5" s="5" t="n"/>
      <c r="B5" s="5" t="n"/>
      <c r="C5" s="5" t="n"/>
      <c r="D5" s="5" t="n"/>
      <c r="E5" s="5" t="n"/>
      <c r="F5" s="5" t="n"/>
      <c r="G5" s="6">
        <f>IF(E5="","",IF(E5=0,0,F5/E5))</f>
        <v/>
      </c>
      <c r="H5" s="5" t="n"/>
    </row>
    <row r="6">
      <c r="A6" s="5" t="n"/>
      <c r="B6" s="5" t="n"/>
      <c r="C6" s="5" t="n"/>
      <c r="D6" s="5" t="n"/>
      <c r="E6" s="5" t="n"/>
      <c r="F6" s="5" t="n"/>
      <c r="G6" s="6">
        <f>IF(E6="","",IF(E6=0,0,F6/E6))</f>
        <v/>
      </c>
      <c r="H6" s="5" t="n"/>
    </row>
    <row r="7">
      <c r="A7" s="5" t="n"/>
      <c r="B7" s="5" t="n"/>
      <c r="C7" s="5" t="n"/>
      <c r="D7" s="5" t="n"/>
      <c r="E7" s="5" t="n"/>
      <c r="F7" s="5" t="n"/>
      <c r="G7" s="6">
        <f>IF(E7="","",IF(E7=0,0,F7/E7))</f>
        <v/>
      </c>
      <c r="H7" s="5" t="n"/>
    </row>
    <row r="8">
      <c r="A8" s="5" t="n"/>
      <c r="B8" s="5" t="n"/>
      <c r="C8" s="5" t="n"/>
      <c r="D8" s="5" t="n"/>
      <c r="E8" s="5" t="n"/>
      <c r="F8" s="5" t="n"/>
      <c r="G8" s="6">
        <f>IF(E8="","",IF(E8=0,0,F8/E8))</f>
        <v/>
      </c>
      <c r="H8" s="5" t="n"/>
    </row>
    <row r="9">
      <c r="A9" s="5" t="n"/>
      <c r="B9" s="5" t="n"/>
      <c r="C9" s="5" t="n"/>
      <c r="D9" s="5" t="n"/>
      <c r="E9" s="5" t="n"/>
      <c r="F9" s="5" t="n"/>
      <c r="G9" s="6">
        <f>IF(E9="","",IF(E9=0,0,F9/E9))</f>
        <v/>
      </c>
      <c r="H9" s="5" t="n"/>
    </row>
    <row r="10">
      <c r="A10" s="5" t="n"/>
      <c r="B10" s="5" t="n"/>
      <c r="C10" s="5" t="n"/>
      <c r="D10" s="5" t="n"/>
      <c r="E10" s="5" t="n"/>
      <c r="F10" s="5" t="n"/>
      <c r="G10" s="6">
        <f>IF(E10="","",IF(E10=0,0,F10/E10))</f>
        <v/>
      </c>
      <c r="H10" s="5" t="n"/>
    </row>
    <row r="11">
      <c r="A11" s="5" t="n"/>
      <c r="B11" s="5" t="n"/>
      <c r="C11" s="5" t="n"/>
      <c r="D11" s="5" t="n"/>
      <c r="E11" s="5" t="n"/>
      <c r="F11" s="5" t="n"/>
      <c r="G11" s="6">
        <f>IF(E11="","",IF(E11=0,0,F11/E11))</f>
        <v/>
      </c>
      <c r="H11" s="5" t="n"/>
    </row>
    <row r="12">
      <c r="A12" s="5" t="n"/>
      <c r="B12" s="5" t="n"/>
      <c r="C12" s="5" t="n"/>
      <c r="D12" s="5" t="n"/>
      <c r="E12" s="5" t="n"/>
      <c r="F12" s="5" t="n"/>
      <c r="G12" s="6">
        <f>IF(E12="","",IF(E12=0,0,F12/E12))</f>
        <v/>
      </c>
      <c r="H12" s="5" t="n"/>
    </row>
    <row r="13">
      <c r="A13" s="5" t="n"/>
      <c r="B13" s="5" t="n"/>
      <c r="C13" s="5" t="n"/>
      <c r="D13" s="5" t="n"/>
      <c r="E13" s="5" t="n"/>
      <c r="F13" s="5" t="n"/>
      <c r="G13" s="6">
        <f>IF(E13="","",IF(E13=0,0,F13/E13))</f>
        <v/>
      </c>
      <c r="H13" s="5" t="n"/>
    </row>
    <row r="14">
      <c r="A14" s="5" t="n"/>
      <c r="B14" s="5" t="n"/>
      <c r="C14" s="5" t="n"/>
      <c r="D14" s="5" t="n"/>
      <c r="E14" s="5" t="n"/>
      <c r="F14" s="5" t="n"/>
      <c r="G14" s="6">
        <f>IF(E14="","",IF(E14=0,0,F14/E14))</f>
        <v/>
      </c>
      <c r="H14" s="5" t="n"/>
    </row>
    <row r="15">
      <c r="A15" s="5" t="n"/>
      <c r="B15" s="5" t="n"/>
      <c r="C15" s="5" t="n"/>
      <c r="D15" s="5" t="n"/>
      <c r="E15" s="5" t="n"/>
      <c r="F15" s="5" t="n"/>
      <c r="G15" s="6">
        <f>IF(E15="","",IF(E15=0,0,F15/E15))</f>
        <v/>
      </c>
      <c r="H15" s="5" t="n"/>
    </row>
    <row r="16">
      <c r="A16" s="5" t="n"/>
      <c r="B16" s="5" t="n"/>
      <c r="C16" s="5" t="n"/>
      <c r="D16" s="5" t="n"/>
      <c r="E16" s="5" t="n"/>
      <c r="F16" s="5" t="n"/>
      <c r="G16" s="6">
        <f>IF(E16="","",IF(E16=0,0,F16/E16))</f>
        <v/>
      </c>
      <c r="H16" s="5" t="n"/>
    </row>
    <row r="17">
      <c r="A17" s="5" t="n"/>
      <c r="B17" s="5" t="n"/>
      <c r="C17" s="5" t="n"/>
      <c r="D17" s="5" t="n"/>
      <c r="E17" s="5" t="n"/>
      <c r="F17" s="5" t="n"/>
      <c r="G17" s="6">
        <f>IF(E17="","",IF(E17=0,0,F17/E17))</f>
        <v/>
      </c>
      <c r="H17" s="5" t="n"/>
    </row>
    <row r="18">
      <c r="A18" s="5" t="n"/>
      <c r="B18" s="5" t="n"/>
      <c r="C18" s="5" t="n"/>
      <c r="D18" s="5" t="n"/>
      <c r="E18" s="5" t="n"/>
      <c r="F18" s="5" t="n"/>
      <c r="G18" s="6">
        <f>IF(E18="","",IF(E18=0,0,F18/E18))</f>
        <v/>
      </c>
      <c r="H18" s="5" t="n"/>
    </row>
    <row r="19">
      <c r="A19" s="5" t="n"/>
      <c r="B19" s="5" t="n"/>
      <c r="C19" s="5" t="n"/>
      <c r="D19" s="5" t="n"/>
      <c r="E19" s="5" t="n"/>
      <c r="F19" s="5" t="n"/>
      <c r="G19" s="6">
        <f>IF(E19="","",IF(E19=0,0,F19/E19))</f>
        <v/>
      </c>
      <c r="H19" s="5" t="n"/>
    </row>
    <row r="20">
      <c r="A20" s="5" t="n"/>
      <c r="B20" s="5" t="n"/>
      <c r="C20" s="5" t="n"/>
      <c r="D20" s="5" t="n"/>
      <c r="E20" s="5" t="n"/>
      <c r="F20" s="5" t="n"/>
      <c r="G20" s="6">
        <f>IF(E20="","",IF(E20=0,0,F20/E20))</f>
        <v/>
      </c>
      <c r="H20" s="5" t="n"/>
    </row>
    <row r="21">
      <c r="A21" s="5" t="n"/>
      <c r="B21" s="5" t="n"/>
      <c r="C21" s="5" t="n"/>
      <c r="D21" s="5" t="n"/>
      <c r="E21" s="5" t="n"/>
      <c r="F21" s="5" t="n"/>
      <c r="G21" s="6">
        <f>IF(E21="","",IF(E21=0,0,F21/E21))</f>
        <v/>
      </c>
      <c r="H21" s="5" t="n"/>
    </row>
    <row r="22">
      <c r="A22" s="5" t="n"/>
      <c r="B22" s="5" t="n"/>
      <c r="C22" s="5" t="n"/>
      <c r="D22" s="5" t="n"/>
      <c r="E22" s="5" t="n"/>
      <c r="F22" s="5" t="n"/>
      <c r="G22" s="6">
        <f>IF(E22="","",IF(E22=0,0,F22/E22))</f>
        <v/>
      </c>
      <c r="H22" s="5" t="n"/>
    </row>
    <row r="23">
      <c r="A23" s="5" t="n"/>
      <c r="B23" s="5" t="n"/>
      <c r="C23" s="5" t="n"/>
      <c r="D23" s="5" t="n"/>
      <c r="E23" s="5" t="n"/>
      <c r="F23" s="5" t="n"/>
      <c r="G23" s="6">
        <f>IF(E23="","",IF(E23=0,0,F23/E23))</f>
        <v/>
      </c>
      <c r="H23" s="5" t="n"/>
    </row>
    <row r="24">
      <c r="A24" s="5" t="n"/>
      <c r="B24" s="5" t="n"/>
      <c r="C24" s="5" t="n"/>
      <c r="D24" s="5" t="n"/>
      <c r="E24" s="5" t="n"/>
      <c r="F24" s="5" t="n"/>
      <c r="G24" s="6">
        <f>IF(E24="","",IF(E24=0,0,F24/E24))</f>
        <v/>
      </c>
      <c r="H24" s="5" t="n"/>
    </row>
    <row r="25">
      <c r="A25" s="5" t="n"/>
      <c r="B25" s="5" t="n"/>
      <c r="C25" s="5" t="n"/>
      <c r="D25" s="5" t="n"/>
      <c r="E25" s="5" t="n"/>
      <c r="F25" s="5" t="n"/>
      <c r="G25" s="6">
        <f>IF(E25="","",IF(E25=0,0,F25/E25))</f>
        <v/>
      </c>
      <c r="H25" s="5" t="n"/>
    </row>
    <row r="26">
      <c r="A26" s="5" t="n"/>
      <c r="B26" s="5" t="n"/>
      <c r="C26" s="5" t="n"/>
      <c r="D26" s="5" t="n"/>
      <c r="E26" s="5" t="n"/>
      <c r="F26" s="5" t="n"/>
      <c r="G26" s="6">
        <f>IF(E26="","",IF(E26=0,0,F26/E26))</f>
        <v/>
      </c>
      <c r="H26" s="5" t="n"/>
    </row>
    <row r="27">
      <c r="A27" s="5" t="n"/>
      <c r="B27" s="5" t="n"/>
      <c r="C27" s="5" t="n"/>
      <c r="D27" s="5" t="n"/>
      <c r="E27" s="5" t="n"/>
      <c r="F27" s="5" t="n"/>
      <c r="G27" s="6">
        <f>IF(E27="","",IF(E27=0,0,F27/E27))</f>
        <v/>
      </c>
      <c r="H27" s="5" t="n"/>
    </row>
    <row r="28">
      <c r="A28" s="5" t="n"/>
      <c r="B28" s="5" t="n"/>
      <c r="C28" s="5" t="n"/>
      <c r="D28" s="5" t="n"/>
      <c r="E28" s="5" t="n"/>
      <c r="F28" s="5" t="n"/>
      <c r="G28" s="6">
        <f>IF(E28="","",IF(E28=0,0,F28/E28))</f>
        <v/>
      </c>
      <c r="H28" s="5" t="n"/>
    </row>
    <row r="29">
      <c r="A29" s="5" t="n"/>
      <c r="B29" s="5" t="n"/>
      <c r="C29" s="5" t="n"/>
      <c r="D29" s="5" t="n"/>
      <c r="E29" s="5" t="n"/>
      <c r="F29" s="5" t="n"/>
      <c r="G29" s="6">
        <f>IF(E29="","",IF(E29=0,0,F29/E29))</f>
        <v/>
      </c>
      <c r="H29" s="5" t="n"/>
    </row>
    <row r="30">
      <c r="A30" s="5" t="n"/>
      <c r="B30" s="5" t="n"/>
      <c r="C30" s="5" t="n"/>
      <c r="D30" s="5" t="n"/>
      <c r="E30" s="5" t="n"/>
      <c r="F30" s="5" t="n"/>
      <c r="G30" s="6">
        <f>IF(E30="","",IF(E30=0,0,F30/E30))</f>
        <v/>
      </c>
      <c r="H30" s="5" t="n"/>
    </row>
    <row r="31">
      <c r="A31" s="5" t="n"/>
      <c r="B31" s="5" t="n"/>
      <c r="C31" s="5" t="n"/>
      <c r="D31" s="5" t="n"/>
      <c r="E31" s="5" t="n"/>
      <c r="F31" s="5" t="n"/>
      <c r="G31" s="6">
        <f>IF(E31="","",IF(E31=0,0,F31/E31))</f>
        <v/>
      </c>
      <c r="H31" s="5" t="n"/>
    </row>
    <row r="32">
      <c r="A32" s="5" t="n"/>
      <c r="B32" s="5" t="n"/>
      <c r="C32" s="5" t="n"/>
      <c r="D32" s="5" t="n"/>
      <c r="E32" s="5" t="n"/>
      <c r="F32" s="5" t="n"/>
      <c r="G32" s="6">
        <f>IF(E32="","",IF(E32=0,0,F32/E32))</f>
        <v/>
      </c>
      <c r="H32" s="5" t="n"/>
    </row>
    <row r="33">
      <c r="A33" s="5" t="n"/>
      <c r="B33" s="5" t="n"/>
      <c r="C33" s="5" t="n"/>
      <c r="D33" s="5" t="n"/>
      <c r="E33" s="5" t="n"/>
      <c r="F33" s="5" t="n"/>
      <c r="G33" s="6">
        <f>IF(E33="","",IF(E33=0,0,F33/E33))</f>
        <v/>
      </c>
      <c r="H33" s="5" t="n"/>
    </row>
    <row r="34">
      <c r="A34" s="5" t="n"/>
      <c r="B34" s="5" t="n"/>
      <c r="C34" s="5" t="n"/>
      <c r="D34" s="5" t="n"/>
      <c r="E34" s="5" t="n"/>
      <c r="F34" s="5" t="n"/>
      <c r="G34" s="6">
        <f>IF(E34="","",IF(E34=0,0,F34/E34))</f>
        <v/>
      </c>
      <c r="H34" s="5" t="n"/>
    </row>
    <row r="35">
      <c r="A35" s="5" t="n"/>
      <c r="B35" s="5" t="n"/>
      <c r="C35" s="5" t="n"/>
      <c r="D35" s="5" t="n"/>
      <c r="E35" s="5" t="n"/>
      <c r="F35" s="5" t="n"/>
      <c r="G35" s="6">
        <f>IF(E35="","",IF(E35=0,0,F35/E35))</f>
        <v/>
      </c>
      <c r="H35" s="5" t="n"/>
    </row>
    <row r="36">
      <c r="A36" s="5" t="n"/>
      <c r="B36" s="5" t="n"/>
      <c r="C36" s="5" t="n"/>
      <c r="D36" s="5" t="n"/>
      <c r="E36" s="5" t="n"/>
      <c r="F36" s="5" t="n"/>
      <c r="G36" s="6">
        <f>IF(E36="","",IF(E36=0,0,F36/E36))</f>
        <v/>
      </c>
      <c r="H36" s="5" t="n"/>
    </row>
    <row r="37">
      <c r="A37" s="5" t="n"/>
      <c r="B37" s="5" t="n"/>
      <c r="C37" s="5" t="n"/>
      <c r="D37" s="5" t="n"/>
      <c r="E37" s="5" t="n"/>
      <c r="F37" s="5" t="n"/>
      <c r="G37" s="6">
        <f>IF(E37="","",IF(E37=0,0,F37/E37))</f>
        <v/>
      </c>
      <c r="H37" s="5" t="n"/>
    </row>
    <row r="38">
      <c r="A38" s="5" t="n"/>
      <c r="B38" s="5" t="n"/>
      <c r="C38" s="5" t="n"/>
      <c r="D38" s="5" t="n"/>
      <c r="E38" s="5" t="n"/>
      <c r="F38" s="5" t="n"/>
      <c r="G38" s="6">
        <f>IF(E38="","",IF(E38=0,0,F38/E38))</f>
        <v/>
      </c>
      <c r="H38" s="5" t="n"/>
    </row>
    <row r="39">
      <c r="A39" s="5" t="n"/>
      <c r="B39" s="5" t="n"/>
      <c r="C39" s="5" t="n"/>
      <c r="D39" s="5" t="n"/>
      <c r="E39" s="5" t="n"/>
      <c r="F39" s="5" t="n"/>
      <c r="G39" s="6">
        <f>IF(E39="","",IF(E39=0,0,F39/E39))</f>
        <v/>
      </c>
      <c r="H39" s="5" t="n"/>
    </row>
    <row r="40">
      <c r="A40" s="5" t="n"/>
      <c r="B40" s="5" t="n"/>
      <c r="C40" s="5" t="n"/>
      <c r="D40" s="5" t="n"/>
      <c r="E40" s="5" t="n"/>
      <c r="F40" s="5" t="n"/>
      <c r="G40" s="6">
        <f>IF(E40="","",IF(E40=0,0,F40/E40))</f>
        <v/>
      </c>
      <c r="H40" s="5" t="n"/>
    </row>
    <row r="41">
      <c r="A41" s="5" t="n"/>
      <c r="B41" s="5" t="n"/>
      <c r="C41" s="5" t="n"/>
      <c r="D41" s="5" t="n"/>
      <c r="E41" s="5" t="n"/>
      <c r="F41" s="5" t="n"/>
      <c r="G41" s="6">
        <f>IF(E41="","",IF(E41=0,0,F41/E41))</f>
        <v/>
      </c>
      <c r="H41" s="5" t="n"/>
    </row>
    <row r="42">
      <c r="A42" s="5" t="n"/>
      <c r="B42" s="5" t="n"/>
      <c r="C42" s="5" t="n"/>
      <c r="D42" s="5" t="n"/>
      <c r="E42" s="5" t="n"/>
      <c r="F42" s="5" t="n"/>
      <c r="G42" s="6">
        <f>IF(E42="","",IF(E42=0,0,F42/E42))</f>
        <v/>
      </c>
      <c r="H42" s="5" t="n"/>
    </row>
    <row r="43">
      <c r="A43" s="5" t="n"/>
      <c r="B43" s="5" t="n"/>
      <c r="C43" s="5" t="n"/>
      <c r="D43" s="5" t="n"/>
      <c r="E43" s="5" t="n"/>
      <c r="F43" s="5" t="n"/>
      <c r="G43" s="6">
        <f>IF(E43="","",IF(E43=0,0,F43/E43))</f>
        <v/>
      </c>
      <c r="H43" s="5" t="n"/>
    </row>
    <row r="44">
      <c r="A44" s="5" t="n"/>
      <c r="B44" s="5" t="n"/>
      <c r="C44" s="5" t="n"/>
      <c r="D44" s="5" t="n"/>
      <c r="E44" s="5" t="n"/>
      <c r="F44" s="5" t="n"/>
      <c r="G44" s="6">
        <f>IF(E44="","",IF(E44=0,0,F44/E44))</f>
        <v/>
      </c>
      <c r="H44" s="5" t="n"/>
    </row>
    <row r="45">
      <c r="A45" s="5" t="n"/>
      <c r="B45" s="5" t="n"/>
      <c r="C45" s="5" t="n"/>
      <c r="D45" s="5" t="n"/>
      <c r="E45" s="5" t="n"/>
      <c r="F45" s="5" t="n"/>
      <c r="G45" s="6">
        <f>IF(E45="","",IF(E45=0,0,F45/E45))</f>
        <v/>
      </c>
      <c r="H45" s="5" t="n"/>
    </row>
    <row r="46">
      <c r="A46" s="5" t="n"/>
      <c r="B46" s="5" t="n"/>
      <c r="C46" s="5" t="n"/>
      <c r="D46" s="5" t="n"/>
      <c r="E46" s="5" t="n"/>
      <c r="F46" s="5" t="n"/>
      <c r="G46" s="6">
        <f>IF(E46="","",IF(E46=0,0,F46/E46))</f>
        <v/>
      </c>
      <c r="H46" s="5" t="n"/>
    </row>
    <row r="47">
      <c r="A47" s="5" t="n"/>
      <c r="B47" s="5" t="n"/>
      <c r="C47" s="5" t="n"/>
      <c r="D47" s="5" t="n"/>
      <c r="E47" s="5" t="n"/>
      <c r="F47" s="5" t="n"/>
      <c r="G47" s="6">
        <f>IF(E47="","",IF(E47=0,0,F47/E47))</f>
        <v/>
      </c>
      <c r="H47" s="5" t="n"/>
    </row>
    <row r="48">
      <c r="A48" s="5" t="n"/>
      <c r="B48" s="5" t="n"/>
      <c r="C48" s="5" t="n"/>
      <c r="D48" s="5" t="n"/>
      <c r="E48" s="5" t="n"/>
      <c r="F48" s="5" t="n"/>
      <c r="G48" s="6">
        <f>IF(E48="","",IF(E48=0,0,F48/E48))</f>
        <v/>
      </c>
      <c r="H48" s="5" t="n"/>
    </row>
    <row r="49">
      <c r="A49" s="5" t="n"/>
      <c r="B49" s="5" t="n"/>
      <c r="C49" s="5" t="n"/>
      <c r="D49" s="5" t="n"/>
      <c r="E49" s="5" t="n"/>
      <c r="F49" s="5" t="n"/>
      <c r="G49" s="6">
        <f>IF(E49="","",IF(E49=0,0,F49/E49))</f>
        <v/>
      </c>
      <c r="H49" s="5" t="n"/>
    </row>
    <row r="50">
      <c r="A50" s="5" t="n"/>
      <c r="B50" s="5" t="n"/>
      <c r="C50" s="5" t="n"/>
      <c r="D50" s="5" t="n"/>
      <c r="E50" s="5" t="n"/>
      <c r="F50" s="5" t="n"/>
      <c r="G50" s="6">
        <f>IF(E50="","",IF(E50=0,0,F50/E50))</f>
        <v/>
      </c>
      <c r="H50" s="5" t="n"/>
    </row>
    <row r="51">
      <c r="A51" s="5" t="n"/>
      <c r="B51" s="5" t="n"/>
      <c r="C51" s="5" t="n"/>
      <c r="D51" s="5" t="n"/>
      <c r="E51" s="5" t="n"/>
      <c r="F51" s="5" t="n"/>
      <c r="G51" s="6">
        <f>IF(E51="","",IF(E51=0,0,F51/E51))</f>
        <v/>
      </c>
      <c r="H51" s="5" t="n"/>
    </row>
    <row r="52">
      <c r="A52" s="5" t="n"/>
      <c r="B52" s="5" t="n"/>
      <c r="C52" s="5" t="n"/>
      <c r="D52" s="5" t="n"/>
      <c r="E52" s="5" t="n"/>
      <c r="F52" s="5" t="n"/>
      <c r="G52" s="6">
        <f>IF(E52="","",IF(E52=0,0,F52/E52))</f>
        <v/>
      </c>
      <c r="H52" s="5" t="n"/>
    </row>
    <row r="53">
      <c r="A53" s="5" t="n"/>
      <c r="B53" s="5" t="n"/>
      <c r="C53" s="5" t="n"/>
      <c r="D53" s="5" t="n"/>
      <c r="E53" s="5" t="n"/>
      <c r="F53" s="5" t="n"/>
      <c r="G53" s="6">
        <f>IF(E53="","",IF(E53=0,0,F53/E53))</f>
        <v/>
      </c>
      <c r="H53" s="5" t="n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16" customWidth="1" min="3" max="3"/>
    <col width="14" customWidth="1" min="4" max="4"/>
  </cols>
  <sheetData>
    <row r="1">
      <c r="A1" s="1" t="inlineStr">
        <is>
          <t>MAPA DE TEMAS — TEC CONCURSOS PRF</t>
        </is>
      </c>
    </row>
    <row r="3">
      <c r="A3" s="3" t="inlineStr">
        <is>
          <t>Matéria</t>
        </is>
      </c>
      <c r="B3" s="3" t="inlineStr">
        <is>
          <t>Subtema</t>
        </is>
      </c>
      <c r="C3" s="3" t="inlineStr">
        <is>
          <t>Qtd no banco</t>
        </is>
      </c>
      <c r="D3" s="3" t="inlineStr">
        <is>
          <t>% do banco</t>
        </is>
      </c>
    </row>
    <row r="4">
      <c r="A4" s="10" t="inlineStr">
        <is>
          <t>Língua Portuguesa</t>
        </is>
      </c>
      <c r="B4" s="10" t="inlineStr">
        <is>
          <t>TOTAL</t>
        </is>
      </c>
      <c r="C4" s="8" t="n">
        <v>14865</v>
      </c>
      <c r="D4" s="9" t="n">
        <v>0.6081</v>
      </c>
    </row>
    <row r="5">
      <c r="A5" s="5" t="inlineStr">
        <is>
          <t>Língua Portuguesa</t>
        </is>
      </c>
      <c r="B5" s="5" t="inlineStr">
        <is>
          <t>Interpretação de Textos</t>
        </is>
      </c>
      <c r="C5" s="4" t="n">
        <v>7414</v>
      </c>
      <c r="D5" s="6" t="n">
        <v>0.3033</v>
      </c>
    </row>
    <row r="6">
      <c r="A6" s="5" t="inlineStr">
        <is>
          <t>Língua Portuguesa</t>
        </is>
      </c>
      <c r="B6" s="5" t="inlineStr">
        <is>
          <t>Coerência e Coesão</t>
        </is>
      </c>
      <c r="C6" s="4" t="n">
        <v>1783</v>
      </c>
      <c r="D6" s="6" t="n">
        <v>0.07290000000000001</v>
      </c>
    </row>
    <row r="7">
      <c r="A7" s="5" t="inlineStr">
        <is>
          <t>Língua Portuguesa</t>
        </is>
      </c>
      <c r="B7" s="5" t="inlineStr">
        <is>
          <t>Morfologia (Classes de Palavras)</t>
        </is>
      </c>
      <c r="C7" s="4" t="n">
        <v>1628</v>
      </c>
      <c r="D7" s="6" t="n">
        <v>0.06660000000000001</v>
      </c>
    </row>
    <row r="8">
      <c r="A8" s="5" t="inlineStr">
        <is>
          <t>Língua Portuguesa</t>
        </is>
      </c>
      <c r="B8" s="5" t="inlineStr">
        <is>
          <t>Pontuação</t>
        </is>
      </c>
      <c r="C8" s="4" t="n">
        <v>1571</v>
      </c>
      <c r="D8" s="6" t="n">
        <v>0.0643</v>
      </c>
    </row>
    <row r="9">
      <c r="A9" s="5" t="inlineStr">
        <is>
          <t>Língua Portuguesa</t>
        </is>
      </c>
      <c r="B9" s="5" t="inlineStr">
        <is>
          <t>Regência (inclui Crase)</t>
        </is>
      </c>
      <c r="C9" s="4" t="n">
        <v>930</v>
      </c>
      <c r="D9" s="6" t="n">
        <v>0.038</v>
      </c>
    </row>
    <row r="10">
      <c r="A10" s="5" t="inlineStr">
        <is>
          <t>Língua Portuguesa</t>
        </is>
      </c>
      <c r="B10" s="5" t="inlineStr">
        <is>
          <t>Concordância (Verbal e Nominal)</t>
        </is>
      </c>
      <c r="C10" s="4" t="n">
        <v>772</v>
      </c>
      <c r="D10" s="6" t="n">
        <v>0.0316</v>
      </c>
    </row>
    <row r="11">
      <c r="A11" s="5" t="inlineStr">
        <is>
          <t>Língua Portuguesa</t>
        </is>
      </c>
      <c r="B11" s="5" t="inlineStr">
        <is>
          <t>Tipologia e Gênero Textual</t>
        </is>
      </c>
      <c r="C11" s="4" t="n">
        <v>767</v>
      </c>
      <c r="D11" s="6" t="n">
        <v>0.0314</v>
      </c>
    </row>
    <row r="12">
      <c r="A12" s="10" t="inlineStr">
        <is>
          <t>Direito Constitucional</t>
        </is>
      </c>
      <c r="B12" s="10" t="inlineStr">
        <is>
          <t>TOTAL</t>
        </is>
      </c>
      <c r="C12" s="8" t="n">
        <v>3370</v>
      </c>
      <c r="D12" s="9" t="n">
        <v>0.1379</v>
      </c>
    </row>
    <row r="13">
      <c r="A13" s="5" t="inlineStr">
        <is>
          <t>Direito Constitucional</t>
        </is>
      </c>
      <c r="B13" s="5" t="inlineStr">
        <is>
          <t>Direitos e Garantias Fundamentais</t>
        </is>
      </c>
      <c r="C13" s="4" t="n">
        <v>2737</v>
      </c>
      <c r="D13" s="6" t="n">
        <v>0.112</v>
      </c>
    </row>
    <row r="14">
      <c r="A14" s="5" t="inlineStr">
        <is>
          <t>Direito Constitucional</t>
        </is>
      </c>
      <c r="B14" s="5" t="inlineStr">
        <is>
          <t>Direitos e Deveres Individuais e Coletivos (art. 5º)</t>
        </is>
      </c>
      <c r="C14" s="4" t="n">
        <v>1305</v>
      </c>
      <c r="D14" s="6" t="n">
        <v>0.0534</v>
      </c>
    </row>
    <row r="15">
      <c r="A15" s="5" t="inlineStr">
        <is>
          <t>Direito Constitucional</t>
        </is>
      </c>
      <c r="B15" s="5" t="inlineStr">
        <is>
          <t>Remédios Constitucionais</t>
        </is>
      </c>
      <c r="C15" s="4" t="n">
        <v>385</v>
      </c>
      <c r="D15" s="6" t="n">
        <v>0.0157</v>
      </c>
    </row>
    <row r="16">
      <c r="A16" s="5" t="inlineStr">
        <is>
          <t>Direito Constitucional</t>
        </is>
      </c>
      <c r="B16" s="5" t="inlineStr">
        <is>
          <t>Direitos Sociais</t>
        </is>
      </c>
      <c r="C16" s="4" t="n">
        <v>314</v>
      </c>
      <c r="D16" s="6" t="n">
        <v>0.0128</v>
      </c>
    </row>
    <row r="17">
      <c r="A17" s="5" t="inlineStr">
        <is>
          <t>Direito Constitucional</t>
        </is>
      </c>
      <c r="B17" s="5" t="inlineStr">
        <is>
          <t>Nacionalidade</t>
        </is>
      </c>
      <c r="C17" s="4" t="n">
        <v>286</v>
      </c>
      <c r="D17" s="6" t="n">
        <v>0.0117</v>
      </c>
    </row>
    <row r="18">
      <c r="A18" s="5" t="inlineStr">
        <is>
          <t>Direito Constitucional</t>
        </is>
      </c>
      <c r="B18" s="5" t="inlineStr">
        <is>
          <t>Direitos Políticos</t>
        </is>
      </c>
      <c r="C18" s="4" t="n">
        <v>370</v>
      </c>
      <c r="D18" s="6" t="n">
        <v>0.0151</v>
      </c>
    </row>
    <row r="19">
      <c r="A19" s="5" t="inlineStr">
        <is>
          <t>Direito Constitucional</t>
        </is>
      </c>
      <c r="B19" s="5" t="inlineStr">
        <is>
          <t>Defesa do Estado e Instituições Democráticas</t>
        </is>
      </c>
      <c r="C19" s="4" t="n">
        <v>356</v>
      </c>
      <c r="D19" s="6" t="n">
        <v>0.0146</v>
      </c>
    </row>
    <row r="20">
      <c r="A20" s="5" t="inlineStr">
        <is>
          <t>Direito Constitucional</t>
        </is>
      </c>
      <c r="B20" s="5" t="inlineStr">
        <is>
          <t>Princípios Fundamentais (arts. 1º-4º)</t>
        </is>
      </c>
      <c r="C20" s="4" t="n">
        <v>277</v>
      </c>
      <c r="D20" s="6" t="n">
        <v>0.0113</v>
      </c>
    </row>
    <row r="21">
      <c r="A21" s="10" t="inlineStr">
        <is>
          <t>Direito Administrativo</t>
        </is>
      </c>
      <c r="B21" s="10" t="inlineStr">
        <is>
          <t>TOTAL</t>
        </is>
      </c>
      <c r="C21" s="8" t="n">
        <v>2855</v>
      </c>
      <c r="D21" s="9" t="n">
        <v>0.1168</v>
      </c>
    </row>
    <row r="22">
      <c r="A22" s="5" t="inlineStr">
        <is>
          <t>Direito Administrativo</t>
        </is>
      </c>
      <c r="B22" s="5" t="inlineStr">
        <is>
          <t>Organização Administrativa</t>
        </is>
      </c>
      <c r="C22" s="4" t="n">
        <v>1860</v>
      </c>
      <c r="D22" s="6" t="n">
        <v>0.0761</v>
      </c>
    </row>
    <row r="23">
      <c r="A23" s="5" t="inlineStr">
        <is>
          <t>Direito Administrativo</t>
        </is>
      </c>
      <c r="B23" s="5" t="inlineStr">
        <is>
          <t>Poderes e Deveres da Administração</t>
        </is>
      </c>
      <c r="C23" s="4" t="n">
        <v>885</v>
      </c>
      <c r="D23" s="6" t="n">
        <v>0.0362</v>
      </c>
    </row>
    <row r="24">
      <c r="A24" s="5" t="inlineStr">
        <is>
          <t>Direito Administrativo</t>
        </is>
      </c>
      <c r="B24" s="5" t="inlineStr">
        <is>
          <t>Poder de Polícia</t>
        </is>
      </c>
      <c r="C24" s="4" t="n">
        <v>340</v>
      </c>
      <c r="D24" s="6" t="n">
        <v>0.0139</v>
      </c>
    </row>
    <row r="25">
      <c r="A25" s="5" t="inlineStr">
        <is>
          <t>Direito Administrativo</t>
        </is>
      </c>
      <c r="B25" s="5" t="inlineStr">
        <is>
          <t>Licitações e Contratos (Lei 14.133/2021)</t>
        </is>
      </c>
      <c r="C25" s="4" t="n">
        <v>110</v>
      </c>
      <c r="D25" s="6" t="n">
        <v>0.0045</v>
      </c>
    </row>
    <row r="26">
      <c r="A26" s="10" t="inlineStr">
        <is>
          <t>Informática</t>
        </is>
      </c>
      <c r="B26" s="10" t="inlineStr">
        <is>
          <t>TOTAL</t>
        </is>
      </c>
      <c r="C26" s="8" t="n">
        <v>2552</v>
      </c>
      <c r="D26" s="9" t="n">
        <v>0.1044</v>
      </c>
    </row>
    <row r="27">
      <c r="A27" s="5" t="inlineStr">
        <is>
          <t>Informática</t>
        </is>
      </c>
      <c r="B27" s="5" t="inlineStr">
        <is>
          <t>Internet (Navegadores, E-mail, etc.)</t>
        </is>
      </c>
      <c r="C27" s="4" t="n">
        <v>1588</v>
      </c>
      <c r="D27" s="6" t="n">
        <v>0.065</v>
      </c>
    </row>
    <row r="28">
      <c r="A28" s="5" t="inlineStr">
        <is>
          <t>Informática</t>
        </is>
      </c>
      <c r="B28" s="5" t="inlineStr">
        <is>
          <t>Segurança da Informação</t>
        </is>
      </c>
      <c r="C28" s="4" t="n">
        <v>776</v>
      </c>
      <c r="D28" s="6" t="n">
        <v>0.0317</v>
      </c>
    </row>
    <row r="29">
      <c r="A29" s="5" t="inlineStr">
        <is>
          <t>Informática</t>
        </is>
      </c>
      <c r="B29" s="5" t="inlineStr">
        <is>
          <t>Sistemas Operacionais (Windows)</t>
        </is>
      </c>
      <c r="C29" s="4" t="n">
        <v>188</v>
      </c>
      <c r="D29" s="6" t="n">
        <v>0.0077</v>
      </c>
    </row>
    <row r="30">
      <c r="A30" s="10" t="inlineStr">
        <is>
          <t>Legislação de Trânsito</t>
        </is>
      </c>
      <c r="B30" s="10" t="inlineStr">
        <is>
          <t>TOTAL (CTB - Lei 9.503/1997)</t>
        </is>
      </c>
      <c r="C30" s="8" t="n">
        <v>766</v>
      </c>
      <c r="D30" s="9" t="n">
        <v>0.0313</v>
      </c>
    </row>
    <row r="31">
      <c r="A31" s="5" t="inlineStr">
        <is>
          <t>Legislação de Trânsito</t>
        </is>
      </c>
      <c r="B31" s="5" t="inlineStr">
        <is>
          <t>Normas Gerais de Circulação e Conduta</t>
        </is>
      </c>
      <c r="C31" s="4" t="n">
        <v>163</v>
      </c>
      <c r="D31" s="6" t="n">
        <v>0.0067</v>
      </c>
    </row>
    <row r="32">
      <c r="A32" s="5" t="inlineStr">
        <is>
          <t>Legislação de Trânsito</t>
        </is>
      </c>
      <c r="B32" s="5" t="inlineStr">
        <is>
          <t>Sistema Nacional de Trânsito</t>
        </is>
      </c>
      <c r="C32" s="4" t="n">
        <v>73</v>
      </c>
      <c r="D32" s="6" t="n">
        <v>0.003</v>
      </c>
    </row>
    <row r="33">
      <c r="A33" s="5" t="inlineStr">
        <is>
          <t>Legislação de Trânsito</t>
        </is>
      </c>
      <c r="B33" s="5" t="inlineStr">
        <is>
          <t>Veículos</t>
        </is>
      </c>
      <c r="C33" s="4" t="n">
        <v>42</v>
      </c>
      <c r="D33" s="6" t="n">
        <v>0.0017</v>
      </c>
    </row>
    <row r="35">
      <c r="A35" s="11" t="inlineStr">
        <is>
          <t>Fonte: CONTROLE 1K Q.docx (mapa-mestre — não modificar).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2026-05-01T01:33:27Z</dcterms:created>
  <dcterms:modified xmlns:dcterms="http://purl.org/dc/terms/" xmlns:xsi="http://www.w3.org/2001/XMLSchema-instance" xsi:type="dcterms:W3CDTF">2026-05-01T01:33:27Z</dcterms:modified>
</cp:coreProperties>
</file>