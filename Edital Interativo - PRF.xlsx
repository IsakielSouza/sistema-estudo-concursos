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ml.chartshapes+xml"/>
  <Override PartName="/xl/media/image2.svg" ContentType="image/sv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240"/>
  </bookViews>
  <sheets>
    <sheet name="Edital PRF" sheetId="1" r:id="rId1"/>
    <sheet name="Resoluções CONTRAN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<sst xmlns="http://schemas.openxmlformats.org/spreadsheetml/2006/main" count="377" uniqueCount="294">
  <si>
    <t>BARRA DE PROGRESSO</t>
  </si>
  <si>
    <t>"A ZONA DE CONFORTO É O CEMITÉRIO DOS SEUS SONHOS"</t>
  </si>
  <si>
    <t>STATUS</t>
  </si>
  <si>
    <t>LÍNGUA PORTUGUESA</t>
  </si>
  <si>
    <t>1 -  Compreensão e Interpretação de textos de Gêneros variados</t>
  </si>
  <si>
    <t>2 - Reconhecimento de tipos e Gêneros textuais</t>
  </si>
  <si>
    <t>3 - Domínio da Ortografia Oficial</t>
  </si>
  <si>
    <t>4 - Domínio dos mecanismos de Coesão textual</t>
  </si>
  <si>
    <t>4.1 - Emprego de elementos de referenciação, substituição e repetição, de conectores e de outros elementos de sequenciação textual</t>
  </si>
  <si>
    <t>4.2 - Emprego de Tempos e Modos verbais</t>
  </si>
  <si>
    <t>TOTAL</t>
  </si>
  <si>
    <t>5 - Domínio da Estrutura Morfossintática do período</t>
  </si>
  <si>
    <t>FEITO</t>
  </si>
  <si>
    <t>5.1 - Emprego das Classes de Palavras</t>
  </si>
  <si>
    <t>PENDENTE</t>
  </si>
  <si>
    <t>5.2 - Relações de Coordenação entre orações e entre termos da oração</t>
  </si>
  <si>
    <t>%FEITO</t>
  </si>
  <si>
    <t>5.3 - Relações de Subordinação entre orações e entre termos da oração</t>
  </si>
  <si>
    <t>5.4 - Emprego dos sinais de pontuação</t>
  </si>
  <si>
    <t>5.5 - Concordância verbal e nominal</t>
  </si>
  <si>
    <t>5.6 - Regência verbal e nominal</t>
  </si>
  <si>
    <t>5.7 - Emprego do sinal indicativo de crase</t>
  </si>
  <si>
    <t>5.8 - Colocação dos pronomes átonos</t>
  </si>
  <si>
    <t>6 - Reescrita de frases e parágrafos do texto</t>
  </si>
  <si>
    <t>6.1 - Significação das palavras</t>
  </si>
  <si>
    <t>6.2 - Substituição de palavras ou de trechos de texto</t>
  </si>
  <si>
    <t>6.3 - Reorganização da estrutura de orações e de períodos do texto</t>
  </si>
  <si>
    <t>6.4 - Reescrita de textos de diferentes gêneros e níveis de formalidade</t>
  </si>
  <si>
    <t>7 -  Correspondência oficial (conforme MRPR)</t>
  </si>
  <si>
    <t>7.1 - Aspectos gerais da redação oficial</t>
  </si>
  <si>
    <t>7.2 - Finalidade dos expedientes oficiais</t>
  </si>
  <si>
    <t>7.3 - Adequação da linguagem ao tipo de documento</t>
  </si>
  <si>
    <t>7.4 - Adequação do formato do texto ao gênero</t>
  </si>
  <si>
    <t>RACIOCÍNIO LÓGICO MATEMÁTICO</t>
  </si>
  <si>
    <t>1 - Modelagem de situações-problema por meio de equações do 1º e 2º graus e sistemas lineares</t>
  </si>
  <si>
    <t>2 - Noção de Função</t>
  </si>
  <si>
    <t>2.1 - Análise gráfica</t>
  </si>
  <si>
    <t>2.2 - Funções afim, Quadrática, Exponencial e Logarítmica</t>
  </si>
  <si>
    <t>2.3 - Aplicações</t>
  </si>
  <si>
    <t>3 - Taxa de Variaçào de Grandezas</t>
  </si>
  <si>
    <t>3.1 - Razão e proporção com aplicações</t>
  </si>
  <si>
    <t>3.2 - Regra de três simples e composta</t>
  </si>
  <si>
    <t>4 - Porcentagem</t>
  </si>
  <si>
    <t>5 - Regularidades e padrões em sequências</t>
  </si>
  <si>
    <t>5.1 - Sequências numéricas</t>
  </si>
  <si>
    <t>5.2 - Progressão aritmética e progressão geométrica</t>
  </si>
  <si>
    <t>6 - Noções básicas de contagem, Probabilidade e Estatística</t>
  </si>
  <si>
    <t>7 - Descrição e análise de Dados</t>
  </si>
  <si>
    <t>7.1 - Leitura e interpretação de tabelas e gráficos apresentados em diferentes linguagens e representações</t>
  </si>
  <si>
    <t>7.2 - Cálculo de médias e análise de desvios de conjuntos de dados</t>
  </si>
  <si>
    <t>8 - Noções básicas de teoria dos Conjuntos</t>
  </si>
  <si>
    <t>9 - Análise e interpretação de diferentes representações de figuras planas, como desenhos, mapas e plantas</t>
  </si>
  <si>
    <t>9.1 - Utilização de escalas</t>
  </si>
  <si>
    <t>9.2 - Visualização de figuras espaciais em diferentes posições</t>
  </si>
  <si>
    <t>9.3 - Representações bidimensionais de projeções, planificações e cortes</t>
  </si>
  <si>
    <t>10 - Métricas</t>
  </si>
  <si>
    <t>10.1 - Áreas e volumes</t>
  </si>
  <si>
    <t>10.2 - Estimativas</t>
  </si>
  <si>
    <t>10.3 - Aplicações</t>
  </si>
  <si>
    <t>INFORMÁTICA</t>
  </si>
  <si>
    <t>1 - Conceito de internet e intrane</t>
  </si>
  <si>
    <t>2 - Conceitos e modos de utilização de tecnologias, ferramentas, aplicativos e procedimentos associados a internet/intranet</t>
  </si>
  <si>
    <t>2.1 - Ferramentas e aplicativos comerciais de navegação, de correio eletrônico, de grupos de discussão, de busca, de pesquisa, de redes sociais e ferramentas colaborativas</t>
  </si>
  <si>
    <t>2.2 - Noções de sistema operacional (ambiente Windows)</t>
  </si>
  <si>
    <t>2.3 - Acesso a distância a computadores, transferência de informação e arquivos, aplicativos de áudio, vídeo e multimídia</t>
  </si>
  <si>
    <t>3 - Transformação digital</t>
  </si>
  <si>
    <t>3.1 - Internet das coisas (IoT)</t>
  </si>
  <si>
    <t>3.2 - Big Data</t>
  </si>
  <si>
    <t>3.3 - Inteligência Artificial</t>
  </si>
  <si>
    <t>4 - Conceitos de proteção e segurança</t>
  </si>
  <si>
    <t>4.1 - Noções de vírus, worms, phishing e pragas virtuais</t>
  </si>
  <si>
    <t>4.2 - Aplicativos para segurança (antivírus, firewall, anti-spyware, VPN, etc.)</t>
  </si>
  <si>
    <t>5 -  Computação na nuvem (cloud computing)</t>
  </si>
  <si>
    <t>FÍSICA</t>
  </si>
  <si>
    <t>1- Cinemática escalar, cinemática vetorial</t>
  </si>
  <si>
    <t>2 - Movimento circular</t>
  </si>
  <si>
    <t>4 - Trabalho</t>
  </si>
  <si>
    <t>5 - Potência</t>
  </si>
  <si>
    <t>6 - Energia cinética, energia potencial, atrito</t>
  </si>
  <si>
    <t>8 - Quantidade de movimento e conservação da quantidade de movimento, impulso</t>
  </si>
  <si>
    <t>9 - Colisões</t>
  </si>
  <si>
    <t>ÉTICA E CIDADANIA</t>
  </si>
  <si>
    <t>1 - Ética e moral</t>
  </si>
  <si>
    <t>2 - Ética, princípios e valores</t>
  </si>
  <si>
    <t>3 - Ética e função pública: integridade</t>
  </si>
  <si>
    <t>4 - Ética no setor público</t>
  </si>
  <si>
    <t>4.1 - Princípios da Administração Pública: moralidade (art. 37 da CF)</t>
  </si>
  <si>
    <t>4.2 - Deveres dos servidores públicos: moralidade administrativa (Lei nº 8.112/1990, art. 116, IX)</t>
  </si>
  <si>
    <t>4.3 - Política de governança da administração pública federal (Decreto nº 9.203/2017)</t>
  </si>
  <si>
    <t>4.4 - Promoção da ética e de regras de conduta para servidores</t>
  </si>
  <si>
    <t>4.4.1 - Código de Ética Profissional do Servidor Público Civil do Poder Executivo Federal (Decreto nº 1.171/1994)</t>
  </si>
  <si>
    <t>4.4.2 - Sistema de Gestão da Ética do Poder Executivo Federal e Comissões de Ética (Decreto nº 6.029/2007)</t>
  </si>
  <si>
    <t>4.4.3 - Código de Conduta da Alta Administração Federal (Exposição de Motivos nº 37/2000)</t>
  </si>
  <si>
    <t>5 - Ética e democracia: exercício da cidadania</t>
  </si>
  <si>
    <t>5.1 - Promoção da transparência ativa e do acesso à informação (Lei nº 12.527/2011 e Decreto nº 7.724/2012)</t>
  </si>
  <si>
    <t>5.2 - Tratamento de conflitos de interesses e nepotismo (Lei nº 12.813/2013 e Decreto nº 7.203/2010)</t>
  </si>
  <si>
    <t>GEOPOLÍTICA</t>
  </si>
  <si>
    <t>1 - O Brasil político: nação e território</t>
  </si>
  <si>
    <t>2 - Organização do Estado Brasileiro</t>
  </si>
  <si>
    <t>3 - A divisão interregional do trabalho e da produção no Brasil</t>
  </si>
  <si>
    <t>4 - A estrutura urbana brasileira e as grandes metrópoles</t>
  </si>
  <si>
    <t>5 - Distribuição espacial da população no Brasil e movimentos migratórios internos</t>
  </si>
  <si>
    <t>6 - Integração entre indústria e estrutura urbana e setor agrícola no Brasil</t>
  </si>
  <si>
    <t>7 - Rede de transporte no Brasil: modais e principais infraestruturas</t>
  </si>
  <si>
    <t>8 - A integração do Brasil ao processo de internacionalização da economia</t>
  </si>
  <si>
    <t>9 - Geografia e gestão ambiental</t>
  </si>
  <si>
    <t>10 - Macrodivisão natural do espaço brasileiro: biomas, domínios e ecossistemas</t>
  </si>
  <si>
    <t>LÍNGUA ESTRANGEIRA (INGLÊS OU ESPANHOL)</t>
  </si>
  <si>
    <t>1 - Compreensão de texto escrito em língua inglesa OU espanhola</t>
  </si>
  <si>
    <t>2 - Itens gramaticais relevantes para a compreensão dos conteúdos semânticos</t>
  </si>
  <si>
    <t>LEGISLAÇÃO DE TRÂNSITO</t>
  </si>
  <si>
    <t>1 - Lei nº 9.503/1997 (Código de Trânsito Brasileiro) e suas alterações, inclusive as
da Lei nº 14.071/2020</t>
  </si>
  <si>
    <t>2 - Lei nº 5.970/1973</t>
  </si>
  <si>
    <t>3 - Resoluções do Conselho Nacional de Trânsito (CONTRAN) e suas alterações:</t>
  </si>
  <si>
    <r>
      <rPr>
        <sz val="12"/>
        <color theme="1"/>
        <rFont val="Calibri"/>
        <charset val="134"/>
      </rPr>
      <t>Resolução nº 04/1998_x000b_
Foi expressamente revogada pela Resolução CONTRAN</t>
    </r>
    <r>
      <rPr>
        <b/>
        <sz val="12"/>
        <color theme="1"/>
        <rFont val="Calibri"/>
        <charset val="134"/>
      </rPr>
      <t xml:space="preserve"> nº 911/2022</t>
    </r>
  </si>
  <si>
    <r>
      <rPr>
        <sz val="12"/>
        <color theme="1"/>
        <rFont val="Calibri"/>
        <charset val="134"/>
      </rPr>
      <t xml:space="preserve">Resolução nº 14_x000b_
Atualmente, o tema é regido pela Resolução CONTRAN </t>
    </r>
    <r>
      <rPr>
        <b/>
        <sz val="12"/>
        <color theme="1"/>
        <rFont val="Calibri"/>
        <charset val="134"/>
      </rPr>
      <t>nº 993/2023</t>
    </r>
  </si>
  <si>
    <r>
      <rPr>
        <sz val="12"/>
        <color theme="1"/>
        <rFont val="Calibri"/>
        <charset val="134"/>
      </rPr>
      <t>Resolução nº 24_x000b_
Foi revogada pela Resolução CONTRAN</t>
    </r>
    <r>
      <rPr>
        <b/>
        <sz val="12"/>
        <color theme="1"/>
        <rFont val="Calibri"/>
        <charset val="134"/>
      </rPr>
      <t xml:space="preserve"> nº 968/2022</t>
    </r>
  </si>
  <si>
    <r>
      <rPr>
        <sz val="12"/>
        <color theme="1"/>
        <rFont val="Calibri"/>
        <charset val="134"/>
      </rPr>
      <t xml:space="preserve">Resolução </t>
    </r>
    <r>
      <rPr>
        <b/>
        <sz val="12"/>
        <color theme="1"/>
        <rFont val="Calibri"/>
        <charset val="134"/>
      </rPr>
      <t>nº 36/1998</t>
    </r>
    <r>
      <rPr>
        <sz val="12"/>
        <color theme="1"/>
        <rFont val="Calibri"/>
        <charset val="134"/>
      </rPr>
      <t xml:space="preserve"> - Em Vigor</t>
    </r>
  </si>
  <si>
    <r>
      <rPr>
        <sz val="12"/>
        <color theme="1"/>
        <rFont val="Calibri"/>
        <charset val="134"/>
      </rPr>
      <t xml:space="preserve">Resolução nº 92/1999_x000b_
Foi revogada e substituída pela Resolução CONTRAN </t>
    </r>
    <r>
      <rPr>
        <b/>
        <sz val="12"/>
        <color theme="1"/>
        <rFont val="Calibri"/>
        <charset val="134"/>
      </rPr>
      <t>nº 938/2022.</t>
    </r>
  </si>
  <si>
    <r>
      <rPr>
        <sz val="12"/>
        <color theme="1"/>
        <rFont val="Calibri"/>
        <charset val="134"/>
      </rPr>
      <t xml:space="preserve">Resolução </t>
    </r>
    <r>
      <rPr>
        <b/>
        <sz val="12"/>
        <color theme="1"/>
        <rFont val="Calibri"/>
        <charset val="134"/>
      </rPr>
      <t>nº 110/2000</t>
    </r>
    <r>
      <rPr>
        <sz val="12"/>
        <color theme="1"/>
        <rFont val="Calibri"/>
        <charset val="134"/>
      </rPr>
      <t xml:space="preserve"> - Em Vigor</t>
    </r>
  </si>
  <si>
    <r>
      <rPr>
        <sz val="12"/>
        <color theme="1"/>
        <rFont val="Calibri"/>
        <charset val="134"/>
      </rPr>
      <t xml:space="preserve">Resolução nº 160/2004_x000b_
Foi substituída pela Resolução CONTRAN </t>
    </r>
    <r>
      <rPr>
        <b/>
        <sz val="12"/>
        <color theme="1"/>
        <rFont val="Calibri"/>
        <charset val="134"/>
      </rPr>
      <t>nº 973/2022</t>
    </r>
  </si>
  <si>
    <r>
      <rPr>
        <sz val="12"/>
        <color theme="1"/>
        <rFont val="Calibri"/>
        <charset val="134"/>
      </rPr>
      <t xml:space="preserve">Resoluções nº 210/2006; 211/2006; 290/2008; 520/2015; 803/2020
Revogadas a partir de 03 de Janeiro de 2022 pela </t>
    </r>
    <r>
      <rPr>
        <b/>
        <sz val="12"/>
        <color theme="1"/>
        <rFont val="Calibri"/>
        <charset val="134"/>
      </rPr>
      <t>Resolução 882/21</t>
    </r>
    <r>
      <rPr>
        <sz val="12"/>
        <color theme="1"/>
        <rFont val="Calibri"/>
        <charset val="134"/>
      </rPr>
      <t>-Alterada pela Deliberação CONTRAN Nº 250 DE 31/12/2021</t>
    </r>
  </si>
  <si>
    <r>
      <rPr>
        <sz val="12"/>
        <color theme="1"/>
        <rFont val="Calibri"/>
        <charset val="134"/>
      </rPr>
      <t>Resolução nº 216/2006_x000b_
Foi substituída pela Resolução CONTRAN</t>
    </r>
    <r>
      <rPr>
        <b/>
        <sz val="12"/>
        <color theme="1"/>
        <rFont val="Calibri"/>
        <charset val="134"/>
      </rPr>
      <t xml:space="preserve"> nº 960, de 17/05/2022</t>
    </r>
  </si>
  <si>
    <r>
      <rPr>
        <sz val="12"/>
        <color theme="1"/>
        <rFont val="Calibri"/>
        <charset val="134"/>
      </rPr>
      <t xml:space="preserve">Resolução nº 227/2007
Revogada a partir de 1º de janeiro de 2024 pela </t>
    </r>
    <r>
      <rPr>
        <b/>
        <sz val="12"/>
        <color theme="1"/>
        <rFont val="Calibri"/>
        <charset val="134"/>
      </rPr>
      <t>Resolução nº 970/2022</t>
    </r>
  </si>
  <si>
    <r>
      <rPr>
        <sz val="12"/>
        <color theme="1"/>
        <rFont val="Calibri"/>
        <charset val="134"/>
      </rPr>
      <t xml:space="preserve">Resolução nº 253/2007; 254/2007
Revogada pela Resolução CONTRAN </t>
    </r>
    <r>
      <rPr>
        <b/>
        <sz val="12"/>
        <color theme="1"/>
        <rFont val="Calibri"/>
        <charset val="134"/>
      </rPr>
      <t>Nº 989, de 15/12/2022</t>
    </r>
  </si>
  <si>
    <r>
      <rPr>
        <sz val="12"/>
        <color theme="1"/>
        <rFont val="Calibri"/>
        <charset val="134"/>
      </rPr>
      <t xml:space="preserve">Resolução nº 268/2008_x000b_
Foi revogada pela Resolução CONTRAN </t>
    </r>
    <r>
      <rPr>
        <b/>
        <sz val="12"/>
        <color theme="1"/>
        <rFont val="Calibri"/>
        <charset val="134"/>
      </rPr>
      <t>nº 970, de 20/06/2022</t>
    </r>
  </si>
  <si>
    <r>
      <rPr>
        <sz val="12"/>
        <color theme="1"/>
        <rFont val="Calibri"/>
        <charset val="134"/>
      </rPr>
      <t>Resolução nº 292/2008
Revogada pela Resolução CONTRAN</t>
    </r>
    <r>
      <rPr>
        <b/>
        <sz val="12"/>
        <color theme="1"/>
        <rFont val="Calibri"/>
        <charset val="134"/>
      </rPr>
      <t xml:space="preserve"> nº 916/2022</t>
    </r>
  </si>
  <si>
    <r>
      <rPr>
        <sz val="12"/>
        <color theme="1"/>
        <rFont val="Calibri"/>
        <charset val="134"/>
      </rPr>
      <t xml:space="preserve">Resolução nº 349/2010_x000b_
Foi revogada pela Resolução CONTRAN </t>
    </r>
    <r>
      <rPr>
        <b/>
        <sz val="12"/>
        <color theme="1"/>
        <rFont val="Calibri"/>
        <charset val="134"/>
      </rPr>
      <t>nº 955, de 28/03/2022</t>
    </r>
  </si>
  <si>
    <r>
      <rPr>
        <sz val="12"/>
        <color theme="1"/>
        <rFont val="Calibri"/>
        <charset val="134"/>
      </rPr>
      <t>Resolução nº 360/2010
Revogada pela Resolução CONTRAN</t>
    </r>
    <r>
      <rPr>
        <b/>
        <sz val="12"/>
        <color theme="1"/>
        <rFont val="Calibri"/>
        <charset val="134"/>
      </rPr>
      <t xml:space="preserve"> Nº 933, de 28/03/2022</t>
    </r>
  </si>
  <si>
    <r>
      <rPr>
        <sz val="12"/>
        <color theme="1"/>
        <rFont val="Calibri"/>
        <charset val="134"/>
      </rPr>
      <t xml:space="preserve">Resolução </t>
    </r>
    <r>
      <rPr>
        <b/>
        <sz val="12"/>
        <color theme="1"/>
        <rFont val="Calibri"/>
        <charset val="134"/>
      </rPr>
      <t>nº 432/2013</t>
    </r>
    <r>
      <rPr>
        <sz val="12"/>
        <color theme="1"/>
        <rFont val="Calibri"/>
        <charset val="134"/>
      </rPr>
      <t xml:space="preserve"> - Em Vigor</t>
    </r>
  </si>
  <si>
    <r>
      <rPr>
        <sz val="12"/>
        <color theme="1"/>
        <rFont val="Calibri"/>
        <charset val="134"/>
      </rPr>
      <t xml:space="preserve">Resolução nº 441/2013
Revogada pela Resolução CONTRAN </t>
    </r>
    <r>
      <rPr>
        <b/>
        <sz val="12"/>
        <color theme="1"/>
        <rFont val="Calibri"/>
        <charset val="134"/>
      </rPr>
      <t>Nº 946, de 28/03/2022</t>
    </r>
  </si>
  <si>
    <r>
      <rPr>
        <sz val="12"/>
        <color theme="1"/>
        <rFont val="Calibri"/>
        <charset val="134"/>
      </rPr>
      <t xml:space="preserve">Resolução nº 453/2013
Revogada pela Resolução CONTRAN </t>
    </r>
    <r>
      <rPr>
        <b/>
        <sz val="12"/>
        <color theme="1"/>
        <rFont val="Calibri"/>
        <charset val="134"/>
      </rPr>
      <t>nº 940/2022</t>
    </r>
  </si>
  <si>
    <r>
      <rPr>
        <sz val="12"/>
        <color theme="1"/>
        <rFont val="Calibri"/>
        <charset val="134"/>
      </rPr>
      <t>Resolução nº 471/2013
Revogada pela Resolução CONTRAN</t>
    </r>
    <r>
      <rPr>
        <b/>
        <sz val="12"/>
        <color theme="1"/>
        <rFont val="Calibri"/>
        <charset val="134"/>
      </rPr>
      <t xml:space="preserve"> Nº 909, de 28/03/2022</t>
    </r>
  </si>
  <si>
    <r>
      <rPr>
        <sz val="12"/>
        <color theme="1"/>
        <rFont val="Calibri"/>
        <charset val="134"/>
      </rPr>
      <t xml:space="preserve">Resolução CONTRAN </t>
    </r>
    <r>
      <rPr>
        <b/>
        <sz val="12"/>
        <color theme="1"/>
        <rFont val="Calibri"/>
        <charset val="134"/>
      </rPr>
      <t>nº 508, de 27 de novembro de 2014</t>
    </r>
    <r>
      <rPr>
        <sz val="12"/>
        <color theme="1"/>
        <rFont val="Calibri"/>
        <charset val="134"/>
      </rPr>
      <t xml:space="preserve"> - Em Vigor</t>
    </r>
  </si>
  <si>
    <r>
      <rPr>
        <sz val="12"/>
        <color theme="1"/>
        <rFont val="Calibri"/>
        <charset val="134"/>
      </rPr>
      <t xml:space="preserve">Resolução CONTRAN </t>
    </r>
    <r>
      <rPr>
        <b/>
        <sz val="12"/>
        <color theme="1"/>
        <rFont val="Calibri"/>
        <charset val="134"/>
      </rPr>
      <t>nº 525/2015</t>
    </r>
    <r>
      <rPr>
        <sz val="12"/>
        <color theme="1"/>
        <rFont val="Calibri"/>
        <charset val="134"/>
      </rPr>
      <t xml:space="preserve"> - Em Vigor</t>
    </r>
  </si>
  <si>
    <r>
      <rPr>
        <sz val="12"/>
        <color theme="1"/>
        <rFont val="Calibri"/>
        <charset val="134"/>
      </rPr>
      <t>Resolução nº 552/2015
Revogada pela Resolução CONTRAN</t>
    </r>
    <r>
      <rPr>
        <b/>
        <sz val="12"/>
        <color theme="1"/>
        <rFont val="Calibri"/>
        <charset val="134"/>
      </rPr>
      <t xml:space="preserve"> nº 945 de 28/03/2022</t>
    </r>
  </si>
  <si>
    <r>
      <rPr>
        <sz val="12"/>
        <color theme="1"/>
        <rFont val="Calibri"/>
        <charset val="134"/>
      </rPr>
      <t xml:space="preserve">Resolução nº 561/2015_x000b_
Foi revogada pela Resolução CONTRAN </t>
    </r>
    <r>
      <rPr>
        <b/>
        <sz val="12"/>
        <color theme="1"/>
        <rFont val="Calibri"/>
        <charset val="134"/>
      </rPr>
      <t>nº 925, de 28/03/2022</t>
    </r>
    <r>
      <rPr>
        <sz val="12"/>
        <color theme="1"/>
        <rFont val="Calibri"/>
        <charset val="134"/>
      </rPr>
      <t>, com efeitos a partir de 01/04/2022</t>
    </r>
  </si>
  <si>
    <r>
      <rPr>
        <sz val="12"/>
        <color theme="1"/>
        <rFont val="Calibri"/>
        <charset val="134"/>
      </rPr>
      <t xml:space="preserve">Resolução nº 619/2016_x000b_
Foi revogada pela Resolução CONTRAN </t>
    </r>
    <r>
      <rPr>
        <b/>
        <sz val="12"/>
        <color theme="1"/>
        <rFont val="Calibri"/>
        <charset val="134"/>
      </rPr>
      <t>nº 918, de 28/03/2022</t>
    </r>
  </si>
  <si>
    <r>
      <rPr>
        <sz val="12"/>
        <color theme="1"/>
        <rFont val="Calibri"/>
        <charset val="134"/>
      </rPr>
      <t xml:space="preserve">Resolução nº 667/2017_x000b_
Foi revogada pela Resolução CONTRAN </t>
    </r>
    <r>
      <rPr>
        <b/>
        <sz val="12"/>
        <color theme="1"/>
        <rFont val="Calibri"/>
        <charset val="134"/>
      </rPr>
      <t>nº 970, de 20/06/2022</t>
    </r>
    <r>
      <rPr>
        <sz val="12"/>
        <color theme="1"/>
        <rFont val="Calibri"/>
        <charset val="134"/>
      </rPr>
      <t>, em vigor desde 1º de julho de 2022</t>
    </r>
  </si>
  <si>
    <r>
      <rPr>
        <sz val="12"/>
        <color theme="1"/>
        <rFont val="Calibri"/>
        <charset val="134"/>
      </rPr>
      <t>Resolução nº 723/2018_x000b_
Não foi totalmente revogada, mas alterada e atualizada principalmente pela Resolução CONTRAN</t>
    </r>
    <r>
      <rPr>
        <b/>
        <sz val="12"/>
        <color theme="1"/>
        <rFont val="Calibri"/>
        <charset val="134"/>
      </rPr>
      <t xml:space="preserve"> nº 844/2021</t>
    </r>
    <r>
      <rPr>
        <sz val="12"/>
        <color theme="1"/>
        <rFont val="Calibri"/>
        <charset val="134"/>
      </rPr>
      <t>. Continua vigente para diversos procedimentos administrativos, já adequada às alterações promovidas pela Lei nº 14.071/2020.</t>
    </r>
  </si>
  <si>
    <r>
      <rPr>
        <sz val="12"/>
        <color theme="1"/>
        <rFont val="Calibri"/>
        <charset val="134"/>
      </rPr>
      <t xml:space="preserve">Resolução CONTRAN </t>
    </r>
    <r>
      <rPr>
        <b/>
        <sz val="12"/>
        <color theme="1"/>
        <rFont val="Calibri"/>
        <charset val="134"/>
      </rPr>
      <t xml:space="preserve">nº 735/2018 </t>
    </r>
    <r>
      <rPr>
        <sz val="12"/>
        <color theme="1"/>
        <rFont val="Calibri"/>
        <charset val="134"/>
      </rPr>
      <t>- Em Vigor</t>
    </r>
  </si>
  <si>
    <r>
      <rPr>
        <sz val="12"/>
        <color theme="1"/>
        <rFont val="Calibri"/>
        <charset val="134"/>
      </rPr>
      <t xml:space="preserve">Resolução nº 740/2018
Revogada pela Resolução CONTRAN </t>
    </r>
    <r>
      <rPr>
        <b/>
        <sz val="12"/>
        <color theme="1"/>
        <rFont val="Calibri"/>
        <charset val="134"/>
      </rPr>
      <t>nº 870 de 13/09/2021</t>
    </r>
  </si>
  <si>
    <r>
      <rPr>
        <sz val="12"/>
        <color theme="1"/>
        <rFont val="Calibri"/>
        <charset val="134"/>
      </rPr>
      <t xml:space="preserve">Resolução nº 780/2019_x000b_
Foi substituída por normas mais recentes, Resolução CONTRAN </t>
    </r>
    <r>
      <rPr>
        <b/>
        <sz val="12"/>
        <color theme="1"/>
        <rFont val="Calibri"/>
        <charset val="134"/>
      </rPr>
      <t xml:space="preserve">nº 969/2022 </t>
    </r>
  </si>
  <si>
    <r>
      <rPr>
        <sz val="12"/>
        <color theme="1"/>
        <rFont val="Calibri"/>
        <charset val="134"/>
      </rPr>
      <t>Resolução nº 789/2020_x000b_
Foi integralmente revogada pela Resolução CONTRAN</t>
    </r>
    <r>
      <rPr>
        <b/>
        <sz val="12"/>
        <color theme="1"/>
        <rFont val="Calibri"/>
        <charset val="134"/>
      </rPr>
      <t xml:space="preserve"> nº 1.020/2025</t>
    </r>
  </si>
  <si>
    <r>
      <rPr>
        <sz val="12"/>
        <color theme="1"/>
        <rFont val="Calibri"/>
        <charset val="134"/>
      </rPr>
      <t xml:space="preserve">Resolução CONTRAN </t>
    </r>
    <r>
      <rPr>
        <b/>
        <sz val="12"/>
        <color theme="1"/>
        <rFont val="Calibri"/>
        <charset val="134"/>
      </rPr>
      <t>nº 798/2020</t>
    </r>
    <r>
      <rPr>
        <sz val="12"/>
        <color theme="1"/>
        <rFont val="Calibri"/>
        <charset val="134"/>
      </rPr>
      <t xml:space="preserve"> - Em Vigor</t>
    </r>
  </si>
  <si>
    <r>
      <rPr>
        <sz val="12"/>
        <color theme="1"/>
        <rFont val="Calibri"/>
        <charset val="134"/>
      </rPr>
      <t xml:space="preserve">Resolução nº 806/2020
Revogada pela Resolução CONTRAN </t>
    </r>
    <r>
      <rPr>
        <b/>
        <sz val="12"/>
        <color theme="1"/>
        <rFont val="Calibri"/>
        <charset val="134"/>
      </rPr>
      <t>nº 871/2021</t>
    </r>
  </si>
  <si>
    <r>
      <rPr>
        <sz val="12"/>
        <color theme="1"/>
        <rFont val="Calibri"/>
        <charset val="134"/>
      </rPr>
      <t xml:space="preserve">Resolução nº 809/2020_x000b_
Não foi revogada, mas sofreu alterações e foi atualizada pela Resolução CONTRAN </t>
    </r>
    <r>
      <rPr>
        <b/>
        <sz val="12"/>
        <color theme="1"/>
        <rFont val="Calibri"/>
        <charset val="134"/>
      </rPr>
      <t>nº 999/2023</t>
    </r>
    <r>
      <rPr>
        <sz val="12"/>
        <color theme="1"/>
        <rFont val="Calibri"/>
        <charset val="134"/>
      </rPr>
      <t>. Permanece vigente como a norma principal</t>
    </r>
  </si>
  <si>
    <r>
      <rPr>
        <sz val="12"/>
        <color theme="1"/>
        <rFont val="Calibri"/>
        <charset val="134"/>
      </rPr>
      <t>Resolução nº 810/2020
Revogada pela Resolução CONTRAN</t>
    </r>
    <r>
      <rPr>
        <b/>
        <sz val="12"/>
        <color theme="1"/>
        <rFont val="Calibri"/>
        <charset val="134"/>
      </rPr>
      <t xml:space="preserve"> nº 851/2021</t>
    </r>
  </si>
  <si>
    <t>DIREITO ADMINISTRATIVO</t>
  </si>
  <si>
    <t>1 - Noções de organização administrativa</t>
  </si>
  <si>
    <t>1.1 - Centralização, descentralização, concentração e desconcentração</t>
  </si>
  <si>
    <t>1.2 - Administração direta e indireta</t>
  </si>
  <si>
    <t>1.3 -  Autarquias, fundações, empresas públicas e sociedades de economia mista</t>
  </si>
  <si>
    <t>2 - Ato administrativo</t>
  </si>
  <si>
    <t>2.1 - Conceito, requisitos, atributos, classificação e espécies</t>
  </si>
  <si>
    <t>3 - Agentes públicos</t>
  </si>
  <si>
    <t>3.1 - Legislação pertinente</t>
  </si>
  <si>
    <t>3.1.1 - Lei nº 8.112/1990 e suas alterações</t>
  </si>
  <si>
    <t>3.1.2 - Disposições constitucionais aplicáveis</t>
  </si>
  <si>
    <t>3.2 - Disposições doutrinárias</t>
  </si>
  <si>
    <t>3.2.1 - Conceitos</t>
  </si>
  <si>
    <t>3.2.2 - Espécies</t>
  </si>
  <si>
    <t>3.2.3 - Cargo, emprego e função pública</t>
  </si>
  <si>
    <t>3.3 - Carreira de policial rodoviário federal</t>
  </si>
  <si>
    <t>3.3.1 - Lei nº 9.654/1998 e suas alterações (carreira de PRF)</t>
  </si>
  <si>
    <t>3.3.2 - Lei nº 12.855/2013 (indenização fronteiras)</t>
  </si>
  <si>
    <t>3.3.3 - Lei nº 13.712/2018 (indenização PRF)</t>
  </si>
  <si>
    <t>3.3.4 - Decreto nº 8.282/2014 (carreira de PRF)</t>
  </si>
  <si>
    <t>4 - Poderes Administrativos</t>
  </si>
  <si>
    <t xml:space="preserve"> 4.1 - Hierárquico, disciplinar, regulamentar e de polícia</t>
  </si>
  <si>
    <t>4.2 - Uso e abuso do poder</t>
  </si>
  <si>
    <t>5 - Licitação</t>
  </si>
  <si>
    <t>5.1 - Princípios</t>
  </si>
  <si>
    <t>5.2 - Contratação direta: dispensa e inexigibilidade</t>
  </si>
  <si>
    <t>5.3 - Modalidades</t>
  </si>
  <si>
    <t>5.4 - Tipos</t>
  </si>
  <si>
    <t>5.5 - Procedimento</t>
  </si>
  <si>
    <t>6 - Controle da Administração Pública</t>
  </si>
  <si>
    <t>6.1 - Controle exercido pela administração Pública</t>
  </si>
  <si>
    <t>6.2 - Controle Judicial</t>
  </si>
  <si>
    <t>6.3 - Controle legislativo</t>
  </si>
  <si>
    <t>7 - Responsabilidade Civil do Estado</t>
  </si>
  <si>
    <t>7.1 - Responsabilidade civil do Estado brasileiro</t>
  </si>
  <si>
    <t>7.1.1 - Responsabilidade por ato comissivo do Estado</t>
  </si>
  <si>
    <t>7.1.2 - Responsabilidade por omissão do Estado</t>
  </si>
  <si>
    <t>7.2 - Requisitos para a demonstração da responsabilidade do Estado</t>
  </si>
  <si>
    <t>7.3 - Causas excludentes e atenuantes da responsabilidade do Estado</t>
  </si>
  <si>
    <t>8 - Regime jurídico-administrativo</t>
  </si>
  <si>
    <t>8.1 - Conceito</t>
  </si>
  <si>
    <t>8.2 - Princípios expressos e implícitos da Administração Pública</t>
  </si>
  <si>
    <t>DIREITO CONSTITUCIONAL</t>
  </si>
  <si>
    <t>1 - Poder Constituinte</t>
  </si>
  <si>
    <t>1.1 - Fundamentos do poder constituinte</t>
  </si>
  <si>
    <t>1.2 - Poder constituinte originário e derivado</t>
  </si>
  <si>
    <t>1.3 - Reforma e revisão constitucionais</t>
  </si>
  <si>
    <t>1.4 - Limitação do poder de revisão</t>
  </si>
  <si>
    <t>1.5 - Emendas à Constituição</t>
  </si>
  <si>
    <t>2 - Fundamentos constitucionais dos direitos e deveres fundamentais</t>
  </si>
  <si>
    <t>2.1 - Direitos e deveres individuais e coletivos</t>
  </si>
  <si>
    <t>2.2 - Direito à vida, à liberdade, à igualdade, à segurança e à propriedade</t>
  </si>
  <si>
    <t>2.3 -  Direitos sociais, nacionalidade, cidadania e direitos políticos</t>
  </si>
  <si>
    <t xml:space="preserve">2.4 -  Garantias constitucionais individuais </t>
  </si>
  <si>
    <t>2.5 - Garantias dos direitos coletivos, sociais e políticos</t>
  </si>
  <si>
    <t xml:space="preserve">2.6 - Remédios constitucionais </t>
  </si>
  <si>
    <t>3 - Poder Executivo</t>
  </si>
  <si>
    <t>3.1 - Forma e sistema de governo</t>
  </si>
  <si>
    <t>3.2 - Chefia de Estado e chefia de governo</t>
  </si>
  <si>
    <t xml:space="preserve">3.3 Atribuições e responsabilidades do presidente da República </t>
  </si>
  <si>
    <t>3.4 - Da União: bens e competências (arts. 20 a 24 da CF)</t>
  </si>
  <si>
    <t>4 - Defesa do Estado e das instituições democráticas</t>
  </si>
  <si>
    <t>4.1 - Forças Armadas (art. 142, CF)</t>
  </si>
  <si>
    <t>4.2 - Segurança pública (art. 144 da CF)</t>
  </si>
  <si>
    <t>4.3 - Organização da segurança pública</t>
  </si>
  <si>
    <t>4.4 - Atribuições constitucionais da Polícia Rodoviária Federal</t>
  </si>
  <si>
    <t>5 - Ordem Social</t>
  </si>
  <si>
    <t>5.1 -  Base e objetivos da ordem social</t>
  </si>
  <si>
    <t>5.2 - Seguridade social</t>
  </si>
  <si>
    <t>5.3 -  Meio ambiente</t>
  </si>
  <si>
    <t>5.4 - Família, criança, adolescente, idoso, índio</t>
  </si>
  <si>
    <t>DIREITO PENAL</t>
  </si>
  <si>
    <t>1 - Princípios Básicos</t>
  </si>
  <si>
    <t>2 - Aplicação da Lei Penal</t>
  </si>
  <si>
    <t>2.1 - Lei penal no tempo</t>
  </si>
  <si>
    <t>2.1.1 - Tempo do Crime</t>
  </si>
  <si>
    <t>2.1.2 - Conflito de leis penais no tempo</t>
  </si>
  <si>
    <t>2.2 - Lei penal no Espaço</t>
  </si>
  <si>
    <t>2.2.1 - Lugar do crime</t>
  </si>
  <si>
    <t>2.2.2 - Territorialidade</t>
  </si>
  <si>
    <t>2.2.3 - Extraterritorialidade</t>
  </si>
  <si>
    <t>3 - Tipicidade</t>
  </si>
  <si>
    <t>3.1 - Crime doloso e crime culposo</t>
  </si>
  <si>
    <t>3.2 - Erro de tipo</t>
  </si>
  <si>
    <t>3.3 - Crime consumado e tentado</t>
  </si>
  <si>
    <t>3.4 - Crime impossível</t>
  </si>
  <si>
    <t>3.5 - Punibilidade e causas de extinção</t>
  </si>
  <si>
    <t>4 - Ilicitude</t>
  </si>
  <si>
    <t>4.1 - Causas de exclusão da ilicitude</t>
  </si>
  <si>
    <t>4.2 - Excesso punível</t>
  </si>
  <si>
    <t>5 - Culpabilidade</t>
  </si>
  <si>
    <t>5.1 - Causas de exclusão da culpabilidade</t>
  </si>
  <si>
    <t>5.2 - Imputabilidade</t>
  </si>
  <si>
    <t>5.3 - Erro de proibição</t>
  </si>
  <si>
    <t>6 - Crimes</t>
  </si>
  <si>
    <t>6.1 - Crimes contra a pessoa</t>
  </si>
  <si>
    <t>6.2 - Crimes contra o patrimônio</t>
  </si>
  <si>
    <t>6.3 - Crimes contra a dignidade sexual</t>
  </si>
  <si>
    <t>6.4 - Crimes contra a incolumidade pública</t>
  </si>
  <si>
    <t>6.5 - Crimes contra a fé pública</t>
  </si>
  <si>
    <t>6.6 - Crimes contra a Administração Pública</t>
  </si>
  <si>
    <t>DIREITO PROCESSUAL PENAL</t>
  </si>
  <si>
    <t>1 - Ação Penal</t>
  </si>
  <si>
    <t>1.1 - Conceito</t>
  </si>
  <si>
    <t>1.2 - Características</t>
  </si>
  <si>
    <t>1.3 - Especíes</t>
  </si>
  <si>
    <t>1.4 - Condições</t>
  </si>
  <si>
    <t>2 - Termo Circunstanciado de Ocorrência (Lei nº 9.099/1995)</t>
  </si>
  <si>
    <t>2.1 - Atos processuais: forma, lugar e tempo</t>
  </si>
  <si>
    <t>3 - Prova</t>
  </si>
  <si>
    <t>3.1 - Conceito, objeto, classificação</t>
  </si>
  <si>
    <t>3.2 - Preservação de local de crime</t>
  </si>
  <si>
    <t>3.3 - Requisitos e ônus da prova</t>
  </si>
  <si>
    <t>3.4 - Provas ilícitas</t>
  </si>
  <si>
    <t>3.5 - Meios de prova: pericial, interrogatório, confissão, perguntas ao ofendido, testemunhas, reconhecimento de pessoas e coisas, acareação, documentos, indícios</t>
  </si>
  <si>
    <t>3.6 - Busca e apreensão: pessoal, domiciliar, requisitos, restrições, horários</t>
  </si>
  <si>
    <t>4 - Prisão</t>
  </si>
  <si>
    <t>4.1 -  Conceito, formalidades, espécies e mandado de prisão e cumprimento</t>
  </si>
  <si>
    <t>4.2 - Prisão em flagrante</t>
  </si>
  <si>
    <t>5 - Identificação Criminal (art. 5º, LVIII, da Constituição Federal e art. 3º da Lei nº 12.037/2009)</t>
  </si>
  <si>
    <t>6 -  Diligências Investigatórias (art. 6º e 13 do CPP)</t>
  </si>
  <si>
    <t>LEGISLAÇÃO ESPECIAL</t>
  </si>
  <si>
    <t>1 - Lei nº 5.553/1968 e Lei nº 12.037/2009</t>
  </si>
  <si>
    <t>2 - Lei nº 8.069/1990 e suas alterações</t>
  </si>
  <si>
    <t>3 - Lei nº 8.072/1990 e suas alterações</t>
  </si>
  <si>
    <t>4 - Decreto nº 1.655/1995 e art. 47 do Decreto nº 9.662/2019</t>
  </si>
  <si>
    <t>5 - Lei nº 9.099/1995 e suas alterações</t>
  </si>
  <si>
    <t xml:space="preserve">6 - Lei nº 9.455/1997 e suas alterações </t>
  </si>
  <si>
    <t xml:space="preserve">7 - Lei nº 9.605/1998 e suas alterações: Capítulos III e V </t>
  </si>
  <si>
    <t>8 - Lei nº 10.826/2003 e suas alterações: Capítulo IV</t>
  </si>
  <si>
    <t>9 - Lei nº 11.343/2006 e suas alterações</t>
  </si>
  <si>
    <t>10 - Lei nº 12.850/2013 e suas alterações</t>
  </si>
  <si>
    <t>11 -  Lei nº 13.675/2018</t>
  </si>
  <si>
    <t>12 -  Lei nº 13.869/2019</t>
  </si>
  <si>
    <t>DIREITOS HUMANOS</t>
  </si>
  <si>
    <t>1 - Direitos humanos na Constituição Federal</t>
  </si>
  <si>
    <t>1.1 - A Constituição Federal e os tratados internacionais de direitos humanos</t>
  </si>
  <si>
    <t>2 - Declaração Universal dos Direitos Humanos</t>
  </si>
  <si>
    <t>3 - Convenção Americana sobre Direitos Humanos (Decreto nº 678/1992)</t>
  </si>
  <si>
    <r>
      <rPr>
        <sz val="12"/>
        <color theme="1"/>
        <rFont val="Calibri"/>
        <charset val="134"/>
      </rPr>
      <t xml:space="preserve">Resolução nº 210/2006
Revogada a partir de 03 de Janeiro de 2022 pela </t>
    </r>
    <r>
      <rPr>
        <b/>
        <sz val="12"/>
        <color theme="1"/>
        <rFont val="Calibri"/>
        <charset val="134"/>
      </rPr>
      <t>Resolução 882/21</t>
    </r>
    <r>
      <rPr>
        <sz val="12"/>
        <color theme="1"/>
        <rFont val="Calibri"/>
        <charset val="134"/>
      </rPr>
      <t>-Alterada pela Deliberação CONTRAN Nº 250 DE 31/12/2021</t>
    </r>
  </si>
  <si>
    <r>
      <rPr>
        <sz val="12"/>
        <color theme="1"/>
        <rFont val="Calibri"/>
        <charset val="134"/>
      </rPr>
      <t xml:space="preserve">Resolução nº 211/2006
Revogada a partir de 03 de Janeiro de 2022 pela </t>
    </r>
    <r>
      <rPr>
        <b/>
        <sz val="12"/>
        <color theme="1"/>
        <rFont val="Calibri"/>
        <charset val="134"/>
      </rPr>
      <t>Resolução 882/21</t>
    </r>
    <r>
      <rPr>
        <sz val="12"/>
        <color theme="1"/>
        <rFont val="Calibri"/>
        <charset val="134"/>
      </rPr>
      <t>-Alterada pela Deliberação CONTRAN Nº 250 DE 31/12/2021</t>
    </r>
  </si>
  <si>
    <r>
      <rPr>
        <sz val="12"/>
        <color theme="1"/>
        <rFont val="Calibri"/>
        <charset val="134"/>
      </rPr>
      <t xml:space="preserve">Resolução nº 253/2007
Revogada pela Resolução CONTRAN </t>
    </r>
    <r>
      <rPr>
        <b/>
        <sz val="12"/>
        <color theme="1"/>
        <rFont val="Calibri"/>
        <charset val="134"/>
      </rPr>
      <t>Nº 989, de 15/12/2022</t>
    </r>
  </si>
  <si>
    <r>
      <rPr>
        <sz val="12"/>
        <color theme="1"/>
        <rFont val="Calibri"/>
        <charset val="134"/>
      </rPr>
      <t xml:space="preserve">Resolução nº 254/2007
Revogada pela Resolução CONTRAN </t>
    </r>
    <r>
      <rPr>
        <b/>
        <sz val="12"/>
        <color theme="1"/>
        <rFont val="Calibri"/>
        <charset val="134"/>
      </rPr>
      <t>Nº 989, de 15/12/2022</t>
    </r>
  </si>
  <si>
    <r>
      <rPr>
        <sz val="12"/>
        <color theme="1"/>
        <rFont val="Calibri"/>
        <charset val="134"/>
      </rPr>
      <t xml:space="preserve">Resolução nº 290/2008_x000b_
Foi revogada pela Resolução CONTRAN </t>
    </r>
    <r>
      <rPr>
        <b/>
        <sz val="12"/>
        <color theme="1"/>
        <rFont val="Calibri"/>
        <charset val="134"/>
      </rPr>
      <t>nº 882, de 13/12/2021</t>
    </r>
    <r>
      <rPr>
        <sz val="12"/>
        <color theme="1"/>
        <rFont val="Calibri"/>
        <charset val="134"/>
      </rPr>
      <t>, com efeitos a partir de 3 de janeiro de 2022</t>
    </r>
  </si>
  <si>
    <r>
      <rPr>
        <sz val="12"/>
        <color theme="1"/>
        <rFont val="Calibri"/>
        <charset val="134"/>
      </rPr>
      <t xml:space="preserve">Resolução nº 520/2015_x000b_
Foi revogada pela Resolução CONTRAN </t>
    </r>
    <r>
      <rPr>
        <b/>
        <sz val="12"/>
        <color theme="1"/>
        <rFont val="Calibri"/>
        <charset val="134"/>
      </rPr>
      <t>nº 882, de 13/12/2021</t>
    </r>
    <r>
      <rPr>
        <sz val="12"/>
        <color theme="1"/>
        <rFont val="Calibri"/>
        <charset val="134"/>
      </rPr>
      <t>, com efeitos a partir de 3 de janeiro de 2022"</t>
    </r>
  </si>
  <si>
    <r>
      <rPr>
        <sz val="12"/>
        <color theme="1"/>
        <rFont val="Calibri"/>
        <charset val="134"/>
      </rPr>
      <t xml:space="preserve">Resolução nº 803/2020
Revogada pela Resolução CONTRAN </t>
    </r>
    <r>
      <rPr>
        <b/>
        <sz val="12"/>
        <color theme="1"/>
        <rFont val="Calibri"/>
        <charset val="134"/>
      </rPr>
      <t>nº 882/2021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</si>
</sst>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2">
    <font>
      <sz val="12"/>
      <color theme="1"/>
      <name val="Aptos Narrow"/>
      <charset val="134"/>
      <scheme val="minor"/>
    </font>
    <font>
      <sz val="12"/>
      <color theme="1"/>
      <name val="Calibri"/>
      <charset val="134"/>
    </font>
    <font>
      <sz val="12"/>
      <color theme="1"/>
      <name val="Century Gothic"/>
      <charset val="134"/>
    </font>
    <font>
      <b/>
      <sz val="16"/>
      <color theme="0" tint="-0.0499893185216834"/>
      <name val="Calibri"/>
      <charset val="134"/>
    </font>
    <font>
      <sz val="24"/>
      <color theme="1"/>
      <name val="Bebas Regular"/>
      <charset val="134"/>
    </font>
    <font>
      <sz val="13"/>
      <color theme="1"/>
      <name val="Cunia"/>
      <charset val="134"/>
    </font>
    <font>
      <b/>
      <sz val="12"/>
      <color theme="1"/>
      <name val="Century Gothic"/>
      <charset val="134"/>
    </font>
    <font>
      <b/>
      <sz val="12"/>
      <color theme="1"/>
      <name val="Calibri"/>
      <charset val="134"/>
    </font>
    <font>
      <sz val="12"/>
      <color theme="0" tint="-0.0499893185216834"/>
      <name val="Century Gothic"/>
      <charset val="134"/>
    </font>
    <font>
      <sz val="12"/>
      <color theme="0" tint="-0.0499893185216834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0999786370433668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8" borderId="14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9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3" xfId="0" applyBorder="1" applyAlignment="1">
      <alignment horizontal="center"/>
    </xf>
    <xf numFmtId="0" fontId="7" fillId="4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/>
    <xf numFmtId="0" fontId="1" fillId="0" borderId="1" xfId="0" applyFont="1" applyBorder="1" applyAlignment="1">
      <alignment horizontal="left" vertical="center"/>
    </xf>
    <xf numFmtId="0" fontId="2" fillId="0" borderId="6" xfId="0" applyFont="1" applyBorder="1"/>
    <xf numFmtId="0" fontId="1" fillId="0" borderId="1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indent="3"/>
    </xf>
    <xf numFmtId="0" fontId="8" fillId="0" borderId="0" xfId="0" applyFont="1"/>
    <xf numFmtId="9" fontId="8" fillId="0" borderId="0" xfId="3" applyFont="1"/>
    <xf numFmtId="0" fontId="1" fillId="0" borderId="7" xfId="0" applyFont="1" applyBorder="1" applyAlignment="1">
      <alignment horizontal="left" vertical="center" indent="3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indent="5"/>
    </xf>
    <xf numFmtId="0" fontId="1" fillId="0" borderId="7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 indent="2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indent="5"/>
    </xf>
    <xf numFmtId="0" fontId="7" fillId="5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left" indent="3"/>
    </xf>
    <xf numFmtId="0" fontId="0" fillId="0" borderId="0" xfId="0" applyAlignment="1">
      <alignment horizontal="center" vertical="center"/>
    </xf>
    <xf numFmtId="0" fontId="0" fillId="0" borderId="6" xfId="0" applyBorder="1"/>
    <xf numFmtId="0" fontId="1" fillId="0" borderId="1" xfId="0" applyFont="1" applyBorder="1"/>
    <xf numFmtId="0" fontId="1" fillId="0" borderId="1" xfId="0" applyFont="1" applyBorder="1" applyAlignment="1">
      <alignment horizontal="left" indent="3"/>
    </xf>
    <xf numFmtId="0" fontId="1" fillId="0" borderId="7" xfId="0" applyFont="1" applyBorder="1" applyAlignment="1">
      <alignment horizontal="left" indent="3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7" fillId="5" borderId="4" xfId="0" applyFont="1" applyFill="1" applyBorder="1"/>
    <xf numFmtId="0" fontId="1" fillId="0" borderId="1" xfId="0" applyFont="1" applyBorder="1" applyAlignment="1">
      <alignment horizontal="left"/>
    </xf>
    <xf numFmtId="0" fontId="9" fillId="0" borderId="0" xfId="0" applyFont="1"/>
    <xf numFmtId="9" fontId="9" fillId="0" borderId="0" xfId="3" applyFont="1"/>
    <xf numFmtId="0" fontId="0" fillId="0" borderId="1" xfId="0" applyBorder="1" applyAlignment="1">
      <alignment horizontal="left" wrapText="1" indent="3"/>
    </xf>
    <xf numFmtId="0" fontId="0" fillId="0" borderId="1" xfId="0" applyBorder="1"/>
    <xf numFmtId="0" fontId="0" fillId="0" borderId="7" xfId="0" applyBorder="1"/>
    <xf numFmtId="0" fontId="10" fillId="5" borderId="4" xfId="0" applyFont="1" applyFill="1" applyBorder="1"/>
    <xf numFmtId="0" fontId="11" fillId="0" borderId="0" xfId="0" applyFont="1"/>
    <xf numFmtId="0" fontId="0" fillId="0" borderId="9" xfId="0" applyBorder="1" applyAlignment="1">
      <alignment horizontal="center" vertical="center"/>
    </xf>
    <xf numFmtId="0" fontId="11" fillId="0" borderId="2" xfId="0" applyFont="1" applyBorder="1"/>
    <xf numFmtId="9" fontId="11" fillId="0" borderId="2" xfId="3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0"/>
        <strike val="1"/>
        <color theme="2" tint="-0.499984740745262"/>
      </font>
      <fill>
        <patternFill patternType="solid">
          <bgColor theme="0" tint="-0.1499679555650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chartUserShapes" Target="../drawings/drawing3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7.xml"/><Relationship Id="rId2" Type="http://schemas.microsoft.com/office/2011/relationships/chartStyle" Target="style7.xml"/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chartUserShapes" Target="../drawings/drawing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chartUserShapes" Target="../drawings/drawing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PRF'!$E$15:$E$16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PRF'!$F$15:$F$16</c:f>
              <c:numCache>
                <c:formatCode>General</c:formatCode>
                <c:ptCount val="2"/>
                <c:pt idx="0">
                  <c:v>8</c:v>
                </c:pt>
                <c:pt idx="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c6a9906-4174-4d10-96bf-c1b95f6d26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PRF'!$E$37:$E$38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PRF'!$F$37:$F$38</c:f>
              <c:numCache>
                <c:formatCode>General</c:formatCode>
                <c:ptCount val="2"/>
                <c:pt idx="0">
                  <c:v>3</c:v>
                </c:pt>
                <c:pt idx="1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2a1d6b-b0bc-4a18-87b8-7912dd290b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3791527770563"/>
          <c:y val="0.0643588394585565"/>
          <c:w val="0.846919327710019"/>
          <c:h val="0.871282321082887"/>
        </c:manualLayout>
      </c:layout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PRF'!$E$63:$E$64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PRF'!$F$63:$F$64</c:f>
              <c:numCache>
                <c:formatCode>General</c:formatCode>
                <c:ptCount val="2"/>
                <c:pt idx="0">
                  <c:v>3</c:v>
                </c:pt>
                <c:pt idx="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e86933-5907-44e2-bfe9-a6de574104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PRF'!$E$76:$E$77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PRF'!$F$76:$F$77</c:f>
              <c:numCache>
                <c:formatCode>General</c:formatCode>
                <c:ptCount val="2"/>
                <c:pt idx="0">
                  <c:v>2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ed91acd-c8da-4cec-9802-4ae11eff71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6"/>
            </a:solidFill>
          </c:spPr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PRF'!$E$88:$E$89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PRF'!$F$88:$F$89</c:f>
              <c:numCache>
                <c:formatCode>General</c:formatCode>
                <c:ptCount val="2"/>
                <c:pt idx="0">
                  <c:v>3</c:v>
                </c:pt>
                <c:pt idx="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a77e15d-37ba-452a-9910-df7d3d35b5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PRF'!$E$103:$E$104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PRF'!$F$103:$F$104</c:f>
              <c:numCache>
                <c:formatCode>General</c:formatCode>
                <c:ptCount val="2"/>
                <c:pt idx="0">
                  <c:v>2</c:v>
                </c:pt>
                <c:pt idx="1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b355b01-ef4e-475f-bab4-7c1777dc0f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PRF'!$E$116:$E$117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PRF'!$F$116:$F$117</c:f>
              <c:numCache>
                <c:formatCode>General</c:formatCode>
                <c:ptCount val="2"/>
                <c:pt idx="0">
                  <c:v>4</c:v>
                </c:pt>
                <c:pt idx="1">
                  <c:v>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a74a3a-59dd-456b-9efb-f6636e43ac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noFill/>
            </a:ln>
            <a:effectLst/>
          </c:spPr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PRF'!$E$155:$E$156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PRF'!$F$155:$F$156</c:f>
              <c:numCache>
                <c:formatCode>General</c:formatCode>
                <c:ptCount val="2"/>
                <c:pt idx="0">
                  <c:v>7</c:v>
                </c:pt>
                <c:pt idx="1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5fdf3a1-ee50-440a-9e20-8295138944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/>
          </c:spPr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PRF'!$E$198:$E$199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PRF'!$F$198:$F$199</c:f>
              <c:numCache>
                <c:formatCode>General</c:formatCode>
                <c:ptCount val="2"/>
                <c:pt idx="0">
                  <c:v>3</c:v>
                </c:pt>
                <c:pt idx="1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fb1ef7-f4bb-4da3-a2c2-a0b896db50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effectLst/>
          </c:spPr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PRF'!$E$226:$E$227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PRF'!$F$226:$F$227</c:f>
              <c:numCache>
                <c:formatCode>General</c:formatCode>
                <c:ptCount val="2"/>
                <c:pt idx="0">
                  <c:v>4</c:v>
                </c:pt>
                <c:pt idx="1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2f9914-777e-46a8-aea6-5e8994b012c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PRF'!$E$256:$E$257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PRF'!$F$256:$F$257</c:f>
              <c:numCache>
                <c:formatCode>General</c:formatCode>
                <c:ptCount val="2"/>
                <c:pt idx="0">
                  <c:v>2</c:v>
                </c:pt>
                <c:pt idx="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148e7d9-4037-4de3-9bf1-d637d936ad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PRF'!$E$275:$E$276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PRF'!$F$275:$F$276</c:f>
              <c:numCache>
                <c:formatCode>General</c:formatCode>
                <c:ptCount val="2"/>
                <c:pt idx="0">
                  <c:v>2</c:v>
                </c:pt>
                <c:pt idx="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a5b15e7-be71-4890-88e9-3a30442bc2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'Edital PRF'!$E$287:$E$288</c:f>
              <c:strCache>
                <c:ptCount val="2"/>
                <c:pt idx="0">
                  <c:v>FEITO</c:v>
                </c:pt>
                <c:pt idx="1">
                  <c:v>PENDENTE</c:v>
                </c:pt>
              </c:strCache>
            </c:strRef>
          </c:cat>
          <c:val>
            <c:numRef>
              <c:f>'Edital PRF'!$F$287:$F$288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c95ff42-ee5e-46be-8488-81c1c3230d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0" Type="http://schemas.openxmlformats.org/officeDocument/2006/relationships/image" Target="../media/image2.svg"/><Relationship Id="rId3" Type="http://schemas.openxmlformats.org/officeDocument/2006/relationships/chart" Target="../charts/chart3.xml"/><Relationship Id="rId29" Type="http://schemas.openxmlformats.org/officeDocument/2006/relationships/image" Target="../media/image1.png"/><Relationship Id="rId28" Type="http://schemas.openxmlformats.org/officeDocument/2006/relationships/hyperlink" Target="#'Edital PRF'!B2"/><Relationship Id="rId27" Type="http://schemas.openxmlformats.org/officeDocument/2006/relationships/hyperlink" Target="#'Edital PRF'!A285"/><Relationship Id="rId26" Type="http://schemas.openxmlformats.org/officeDocument/2006/relationships/hyperlink" Target="#'Edital PRF'!A272"/><Relationship Id="rId25" Type="http://schemas.openxmlformats.org/officeDocument/2006/relationships/hyperlink" Target="#'Edital PRF'!A252"/><Relationship Id="rId24" Type="http://schemas.openxmlformats.org/officeDocument/2006/relationships/hyperlink" Target="#'Edital PRF'!A222"/><Relationship Id="rId23" Type="http://schemas.openxmlformats.org/officeDocument/2006/relationships/hyperlink" Target="#'Edital PRF'!A193"/><Relationship Id="rId22" Type="http://schemas.openxmlformats.org/officeDocument/2006/relationships/hyperlink" Target="#'Edital PRF'!A151"/><Relationship Id="rId21" Type="http://schemas.openxmlformats.org/officeDocument/2006/relationships/hyperlink" Target="#'Edital PRF'!A113"/><Relationship Id="rId20" Type="http://schemas.openxmlformats.org/officeDocument/2006/relationships/hyperlink" Target="#'Edital PRF'!A110"/><Relationship Id="rId2" Type="http://schemas.openxmlformats.org/officeDocument/2006/relationships/chart" Target="../charts/chart2.xml"/><Relationship Id="rId19" Type="http://schemas.openxmlformats.org/officeDocument/2006/relationships/hyperlink" Target="#'Edital PRF'!A99"/><Relationship Id="rId18" Type="http://schemas.openxmlformats.org/officeDocument/2006/relationships/hyperlink" Target="#'Edital PRF'!A84"/><Relationship Id="rId17" Type="http://schemas.openxmlformats.org/officeDocument/2006/relationships/hyperlink" Target="#'Edital PRF'!A74"/><Relationship Id="rId16" Type="http://schemas.openxmlformats.org/officeDocument/2006/relationships/hyperlink" Target="#'Edital PRF'!A60"/><Relationship Id="rId15" Type="http://schemas.openxmlformats.org/officeDocument/2006/relationships/hyperlink" Target="#'Edital PRF'!A34"/><Relationship Id="rId14" Type="http://schemas.openxmlformats.org/officeDocument/2006/relationships/hyperlink" Target="#'Edital PRF'!A8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656166</xdr:colOff>
      <xdr:row>12</xdr:row>
      <xdr:rowOff>422274</xdr:rowOff>
    </xdr:from>
    <xdr:to>
      <xdr:col>5</xdr:col>
      <xdr:colOff>793750</xdr:colOff>
      <xdr:row>19</xdr:row>
      <xdr:rowOff>21165</xdr:rowOff>
    </xdr:to>
    <xdr:graphicFrame>
      <xdr:nvGraphicFramePr>
        <xdr:cNvPr id="3" name="Gráfico 2"/>
        <xdr:cNvGraphicFramePr/>
      </xdr:nvGraphicFramePr>
      <xdr:xfrm>
        <a:off x="6866890" y="4126865"/>
        <a:ext cx="1691005" cy="1544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105833</xdr:colOff>
      <xdr:row>14</xdr:row>
      <xdr:rowOff>95249</xdr:rowOff>
    </xdr:from>
    <xdr:to>
      <xdr:col>5</xdr:col>
      <xdr:colOff>591833</xdr:colOff>
      <xdr:row>17</xdr:row>
      <xdr:rowOff>134059</xdr:rowOff>
    </xdr:to>
    <xdr:sp textlink="$F$17">
      <xdr:nvSpPr>
        <xdr:cNvPr id="5" name="Retângulo 4"/>
        <xdr:cNvSpPr/>
      </xdr:nvSpPr>
      <xdr:spPr>
        <a:xfrm>
          <a:off x="7098665" y="4475480"/>
          <a:ext cx="1268730" cy="8013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2590778-CB84-B841-A13E-CADB3305CC65}" type="TxLink">
            <a:rPr lang="en-US" sz="3600" b="1" i="0" u="none" strike="noStrike">
              <a:solidFill>
                <a:srgbClr val="000000"/>
              </a:solidFill>
              <a:latin typeface="Bebas" panose="020B0606020202050201" pitchFamily="34" charset="0"/>
            </a:rPr>
            <a:t>31%</a:t>
          </a:fld>
          <a:endParaRPr lang="pt-BR" sz="3200" b="1">
            <a:latin typeface="Bebas" panose="020B0606020202050201" pitchFamily="34" charset="0"/>
          </a:endParaRPr>
        </a:p>
      </xdr:txBody>
    </xdr:sp>
    <xdr:clientData/>
  </xdr:twoCellAnchor>
  <xdr:twoCellAnchor>
    <xdr:from>
      <xdr:col>4</xdr:col>
      <xdr:colOff>10583</xdr:colOff>
      <xdr:row>34</xdr:row>
      <xdr:rowOff>496358</xdr:rowOff>
    </xdr:from>
    <xdr:to>
      <xdr:col>6</xdr:col>
      <xdr:colOff>63500</xdr:colOff>
      <xdr:row>41</xdr:row>
      <xdr:rowOff>52917</xdr:rowOff>
    </xdr:to>
    <xdr:graphicFrame>
      <xdr:nvGraphicFramePr>
        <xdr:cNvPr id="8" name="Gráfico 7"/>
        <xdr:cNvGraphicFramePr/>
      </xdr:nvGraphicFramePr>
      <xdr:xfrm>
        <a:off x="7003415" y="9956165"/>
        <a:ext cx="1617980" cy="1576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275167</xdr:colOff>
      <xdr:row>36</xdr:row>
      <xdr:rowOff>1</xdr:rowOff>
    </xdr:from>
    <xdr:to>
      <xdr:col>5</xdr:col>
      <xdr:colOff>699645</xdr:colOff>
      <xdr:row>40</xdr:row>
      <xdr:rowOff>37729</xdr:rowOff>
    </xdr:to>
    <xdr:sp textlink="$F$39">
      <xdr:nvSpPr>
        <xdr:cNvPr id="9" name="Retângulo 8"/>
        <xdr:cNvSpPr/>
      </xdr:nvSpPr>
      <xdr:spPr>
        <a:xfrm>
          <a:off x="7268210" y="10210165"/>
          <a:ext cx="1206500" cy="10534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6047817-85DF-6642-802C-59A2C1F75B58}" type="TxLink">
            <a:rPr lang="en-US" sz="3600" b="0" i="0" u="none" strike="noStrike">
              <a:solidFill>
                <a:srgbClr val="000000"/>
              </a:solidFill>
              <a:latin typeface="Bebas" panose="020B0606020202050201" pitchFamily="34" charset="0"/>
            </a:rPr>
            <a:t>12%</a:t>
          </a:fld>
          <a:endParaRPr lang="pt-BR" sz="3600">
            <a:latin typeface="Bebas" panose="020B0606020202050201" pitchFamily="34" charset="0"/>
          </a:endParaRPr>
        </a:p>
      </xdr:txBody>
    </xdr:sp>
    <xdr:clientData/>
  </xdr:twoCellAnchor>
  <xdr:twoCellAnchor>
    <xdr:from>
      <xdr:col>3</xdr:col>
      <xdr:colOff>825498</xdr:colOff>
      <xdr:row>61</xdr:row>
      <xdr:rowOff>422275</xdr:rowOff>
    </xdr:from>
    <xdr:to>
      <xdr:col>6</xdr:col>
      <xdr:colOff>42333</xdr:colOff>
      <xdr:row>65</xdr:row>
      <xdr:rowOff>0</xdr:rowOff>
    </xdr:to>
    <xdr:graphicFrame>
      <xdr:nvGraphicFramePr>
        <xdr:cNvPr id="10" name="Gráfico 9"/>
        <xdr:cNvGraphicFramePr/>
      </xdr:nvGraphicFramePr>
      <xdr:xfrm>
        <a:off x="6993255" y="17452340"/>
        <a:ext cx="1606550" cy="1584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359832</xdr:colOff>
      <xdr:row>62</xdr:row>
      <xdr:rowOff>254000</xdr:rowOff>
    </xdr:from>
    <xdr:to>
      <xdr:col>5</xdr:col>
      <xdr:colOff>465667</xdr:colOff>
      <xdr:row>64</xdr:row>
      <xdr:rowOff>63500</xdr:rowOff>
    </xdr:to>
    <xdr:sp textlink="$F$65">
      <xdr:nvSpPr>
        <xdr:cNvPr id="11" name="Retângulo 10"/>
        <xdr:cNvSpPr/>
      </xdr:nvSpPr>
      <xdr:spPr>
        <a:xfrm>
          <a:off x="7352665" y="17830165"/>
          <a:ext cx="888365" cy="762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5C570DA-7B7A-6E4C-A6C4-1C87DE80CEA9}" type="TxLink">
            <a:rPr lang="en-US" sz="3600" b="0" i="0" u="none" strike="noStrike">
              <a:solidFill>
                <a:schemeClr val="tx1"/>
              </a:solidFill>
              <a:latin typeface="Bebas" panose="020B0606020202050201" pitchFamily="34" charset="0"/>
            </a:rPr>
            <a:t>21%</a:t>
          </a:fld>
          <a:endParaRPr lang="pt-BR" sz="3600">
            <a:solidFill>
              <a:schemeClr val="tx1"/>
            </a:solidFill>
            <a:latin typeface="Bebas" panose="020B0606020202050201" pitchFamily="34" charset="0"/>
          </a:endParaRPr>
        </a:p>
      </xdr:txBody>
    </xdr:sp>
    <xdr:clientData/>
  </xdr:twoCellAnchor>
  <xdr:twoCellAnchor>
    <xdr:from>
      <xdr:col>3</xdr:col>
      <xdr:colOff>825499</xdr:colOff>
      <xdr:row>73</xdr:row>
      <xdr:rowOff>242359</xdr:rowOff>
    </xdr:from>
    <xdr:to>
      <xdr:col>6</xdr:col>
      <xdr:colOff>52916</xdr:colOff>
      <xdr:row>80</xdr:row>
      <xdr:rowOff>31750</xdr:rowOff>
    </xdr:to>
    <xdr:graphicFrame>
      <xdr:nvGraphicFramePr>
        <xdr:cNvPr id="12" name="Gráfico 11"/>
        <xdr:cNvGraphicFramePr/>
      </xdr:nvGraphicFramePr>
      <xdr:xfrm>
        <a:off x="6993255" y="21310600"/>
        <a:ext cx="1617345" cy="1567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402167</xdr:colOff>
      <xdr:row>75</xdr:row>
      <xdr:rowOff>63500</xdr:rowOff>
    </xdr:from>
    <xdr:to>
      <xdr:col>5</xdr:col>
      <xdr:colOff>518583</xdr:colOff>
      <xdr:row>78</xdr:row>
      <xdr:rowOff>116417</xdr:rowOff>
    </xdr:to>
    <xdr:sp textlink="$F$78">
      <xdr:nvSpPr>
        <xdr:cNvPr id="13" name="Retângulo 12"/>
        <xdr:cNvSpPr/>
      </xdr:nvSpPr>
      <xdr:spPr>
        <a:xfrm>
          <a:off x="7395210" y="21640165"/>
          <a:ext cx="898525" cy="8147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5827F8D-6BA4-3F4D-A83E-FD353019E751}" type="TxLink">
            <a:rPr lang="en-US" sz="3600" b="1" i="0" u="none" strike="noStrike">
              <a:solidFill>
                <a:schemeClr val="tx1"/>
              </a:solidFill>
              <a:latin typeface="Bebas" panose="020B0606020202050201" pitchFamily="34" charset="0"/>
            </a:rPr>
            <a:t>20%</a:t>
          </a:fld>
          <a:endParaRPr lang="pt-BR" sz="3600" b="1">
            <a:solidFill>
              <a:schemeClr val="tx1"/>
            </a:solidFill>
            <a:latin typeface="Bebas" panose="020B0606020202050201" pitchFamily="34" charset="0"/>
          </a:endParaRPr>
        </a:p>
      </xdr:txBody>
    </xdr:sp>
    <xdr:clientData/>
  </xdr:twoCellAnchor>
  <xdr:twoCellAnchor>
    <xdr:from>
      <xdr:col>3</xdr:col>
      <xdr:colOff>825499</xdr:colOff>
      <xdr:row>85</xdr:row>
      <xdr:rowOff>252942</xdr:rowOff>
    </xdr:from>
    <xdr:to>
      <xdr:col>6</xdr:col>
      <xdr:colOff>42333</xdr:colOff>
      <xdr:row>90</xdr:row>
      <xdr:rowOff>338667</xdr:rowOff>
    </xdr:to>
    <xdr:graphicFrame>
      <xdr:nvGraphicFramePr>
        <xdr:cNvPr id="14" name="Gráfico 13"/>
        <xdr:cNvGraphicFramePr/>
      </xdr:nvGraphicFramePr>
      <xdr:xfrm>
        <a:off x="6993255" y="24509095"/>
        <a:ext cx="1606550" cy="1584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349250</xdr:colOff>
      <xdr:row>87</xdr:row>
      <xdr:rowOff>84667</xdr:rowOff>
    </xdr:from>
    <xdr:to>
      <xdr:col>5</xdr:col>
      <xdr:colOff>550333</xdr:colOff>
      <xdr:row>89</xdr:row>
      <xdr:rowOff>444500</xdr:rowOff>
    </xdr:to>
    <xdr:sp textlink="$F$90">
      <xdr:nvSpPr>
        <xdr:cNvPr id="15" name="Retângulo 14"/>
        <xdr:cNvSpPr/>
      </xdr:nvSpPr>
      <xdr:spPr>
        <a:xfrm>
          <a:off x="7342505" y="24848820"/>
          <a:ext cx="982980" cy="8680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32BAAAF-0854-5B46-88E4-9FBBDEA632D8}" type="TxLink">
            <a:rPr lang="en-US" sz="3600" b="1" i="0" u="none" strike="noStrike">
              <a:solidFill>
                <a:schemeClr val="tx1"/>
              </a:solidFill>
              <a:latin typeface="Bebas" panose="020B0606020202050201" pitchFamily="34" charset="0"/>
            </a:rPr>
            <a:t>20%</a:t>
          </a:fld>
          <a:endParaRPr lang="pt-BR" sz="3600" b="1">
            <a:solidFill>
              <a:schemeClr val="tx1"/>
            </a:solidFill>
            <a:latin typeface="Bebas" panose="020B0606020202050201" pitchFamily="34" charset="0"/>
          </a:endParaRPr>
        </a:p>
      </xdr:txBody>
    </xdr:sp>
    <xdr:clientData/>
  </xdr:twoCellAnchor>
  <xdr:twoCellAnchor>
    <xdr:from>
      <xdr:col>3</xdr:col>
      <xdr:colOff>825499</xdr:colOff>
      <xdr:row>100</xdr:row>
      <xdr:rowOff>252943</xdr:rowOff>
    </xdr:from>
    <xdr:to>
      <xdr:col>6</xdr:col>
      <xdr:colOff>63499</xdr:colOff>
      <xdr:row>107</xdr:row>
      <xdr:rowOff>63500</xdr:rowOff>
    </xdr:to>
    <xdr:graphicFrame>
      <xdr:nvGraphicFramePr>
        <xdr:cNvPr id="16" name="Gráfico 15"/>
        <xdr:cNvGraphicFramePr/>
      </xdr:nvGraphicFramePr>
      <xdr:xfrm>
        <a:off x="6993255" y="29766895"/>
        <a:ext cx="1627505" cy="1791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825499</xdr:colOff>
      <xdr:row>113</xdr:row>
      <xdr:rowOff>506942</xdr:rowOff>
    </xdr:from>
    <xdr:to>
      <xdr:col>6</xdr:col>
      <xdr:colOff>84666</xdr:colOff>
      <xdr:row>118</xdr:row>
      <xdr:rowOff>158750</xdr:rowOff>
    </xdr:to>
    <xdr:graphicFrame>
      <xdr:nvGraphicFramePr>
        <xdr:cNvPr id="17" name="Gráfico 16"/>
        <xdr:cNvGraphicFramePr/>
      </xdr:nvGraphicFramePr>
      <xdr:xfrm>
        <a:off x="6993255" y="33526095"/>
        <a:ext cx="1649095" cy="202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814915</xdr:colOff>
      <xdr:row>152</xdr:row>
      <xdr:rowOff>9525</xdr:rowOff>
    </xdr:from>
    <xdr:to>
      <xdr:col>6</xdr:col>
      <xdr:colOff>74083</xdr:colOff>
      <xdr:row>158</xdr:row>
      <xdr:rowOff>42333</xdr:rowOff>
    </xdr:to>
    <xdr:graphicFrame>
      <xdr:nvGraphicFramePr>
        <xdr:cNvPr id="18" name="Gráfico 17"/>
        <xdr:cNvGraphicFramePr/>
      </xdr:nvGraphicFramePr>
      <xdr:xfrm>
        <a:off x="6993255" y="53345715"/>
        <a:ext cx="1638300" cy="1556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825499</xdr:colOff>
      <xdr:row>196</xdr:row>
      <xdr:rowOff>9526</xdr:rowOff>
    </xdr:from>
    <xdr:to>
      <xdr:col>6</xdr:col>
      <xdr:colOff>63500</xdr:colOff>
      <xdr:row>202</xdr:row>
      <xdr:rowOff>42334</xdr:rowOff>
    </xdr:to>
    <xdr:graphicFrame>
      <xdr:nvGraphicFramePr>
        <xdr:cNvPr id="19" name="Gráfico 18"/>
        <xdr:cNvGraphicFramePr/>
      </xdr:nvGraphicFramePr>
      <xdr:xfrm>
        <a:off x="6993255" y="64521715"/>
        <a:ext cx="1628140" cy="1556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814916</xdr:colOff>
      <xdr:row>223</xdr:row>
      <xdr:rowOff>252942</xdr:rowOff>
    </xdr:from>
    <xdr:to>
      <xdr:col>6</xdr:col>
      <xdr:colOff>74083</xdr:colOff>
      <xdr:row>230</xdr:row>
      <xdr:rowOff>74083</xdr:rowOff>
    </xdr:to>
    <xdr:graphicFrame>
      <xdr:nvGraphicFramePr>
        <xdr:cNvPr id="20" name="Gráfico 19"/>
        <xdr:cNvGraphicFramePr/>
      </xdr:nvGraphicFramePr>
      <xdr:xfrm>
        <a:off x="6993255" y="71622920"/>
        <a:ext cx="1638300" cy="156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10582</xdr:colOff>
      <xdr:row>253</xdr:row>
      <xdr:rowOff>200024</xdr:rowOff>
    </xdr:from>
    <xdr:to>
      <xdr:col>6</xdr:col>
      <xdr:colOff>105832</xdr:colOff>
      <xdr:row>261</xdr:row>
      <xdr:rowOff>169333</xdr:rowOff>
    </xdr:to>
    <xdr:graphicFrame>
      <xdr:nvGraphicFramePr>
        <xdr:cNvPr id="21" name="Gráfico 20"/>
        <xdr:cNvGraphicFramePr/>
      </xdr:nvGraphicFramePr>
      <xdr:xfrm>
        <a:off x="7003415" y="78467585"/>
        <a:ext cx="1659890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349250</xdr:colOff>
      <xdr:row>255</xdr:row>
      <xdr:rowOff>105834</xdr:rowOff>
    </xdr:from>
    <xdr:to>
      <xdr:col>5</xdr:col>
      <xdr:colOff>571500</xdr:colOff>
      <xdr:row>259</xdr:row>
      <xdr:rowOff>190500</xdr:rowOff>
    </xdr:to>
    <xdr:sp textlink="$F$258">
      <xdr:nvSpPr>
        <xdr:cNvPr id="22" name="Retângulo 21"/>
        <xdr:cNvSpPr/>
      </xdr:nvSpPr>
      <xdr:spPr>
        <a:xfrm>
          <a:off x="7342505" y="78820645"/>
          <a:ext cx="1004570" cy="9791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9BE3601-CA78-114D-854B-394119777107}" type="TxLink">
            <a:rPr lang="en-US" sz="3600" b="0" i="0" u="none" strike="noStrike">
              <a:solidFill>
                <a:schemeClr val="tx1"/>
              </a:solidFill>
              <a:latin typeface="Bebas" panose="020B0606020202050201" pitchFamily="34" charset="0"/>
            </a:rPr>
            <a:t>10%</a:t>
          </a:fld>
          <a:endParaRPr lang="pt-BR" sz="3600">
            <a:solidFill>
              <a:schemeClr val="tx1"/>
            </a:solidFill>
            <a:latin typeface="Bebas" panose="020B0606020202050201" pitchFamily="34" charset="0"/>
          </a:endParaRPr>
        </a:p>
      </xdr:txBody>
    </xdr:sp>
    <xdr:clientData/>
  </xdr:twoCellAnchor>
  <xdr:twoCellAnchor>
    <xdr:from>
      <xdr:col>4</xdr:col>
      <xdr:colOff>10583</xdr:colOff>
      <xdr:row>272</xdr:row>
      <xdr:rowOff>200025</xdr:rowOff>
    </xdr:from>
    <xdr:to>
      <xdr:col>6</xdr:col>
      <xdr:colOff>63499</xdr:colOff>
      <xdr:row>280</xdr:row>
      <xdr:rowOff>137584</xdr:rowOff>
    </xdr:to>
    <xdr:graphicFrame>
      <xdr:nvGraphicFramePr>
        <xdr:cNvPr id="23" name="Gráfico 22"/>
        <xdr:cNvGraphicFramePr/>
      </xdr:nvGraphicFramePr>
      <xdr:xfrm>
        <a:off x="7003415" y="82958305"/>
        <a:ext cx="1617345" cy="1725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161639</xdr:colOff>
      <xdr:row>284</xdr:row>
      <xdr:rowOff>34635</xdr:rowOff>
    </xdr:from>
    <xdr:to>
      <xdr:col>5</xdr:col>
      <xdr:colOff>508004</xdr:colOff>
      <xdr:row>288</xdr:row>
      <xdr:rowOff>207817</xdr:rowOff>
    </xdr:to>
    <xdr:graphicFrame>
      <xdr:nvGraphicFramePr>
        <xdr:cNvPr id="24" name="Gráfico 23"/>
        <xdr:cNvGraphicFramePr/>
      </xdr:nvGraphicFramePr>
      <xdr:xfrm>
        <a:off x="7154545" y="85484335"/>
        <a:ext cx="1129030" cy="1067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457973</xdr:colOff>
      <xdr:row>285</xdr:row>
      <xdr:rowOff>76968</xdr:rowOff>
    </xdr:from>
    <xdr:to>
      <xdr:col>5</xdr:col>
      <xdr:colOff>288640</xdr:colOff>
      <xdr:row>288</xdr:row>
      <xdr:rowOff>6734</xdr:rowOff>
    </xdr:to>
    <xdr:sp textlink="$F$289">
      <xdr:nvSpPr>
        <xdr:cNvPr id="25" name="Retângulo 24"/>
        <xdr:cNvSpPr/>
      </xdr:nvSpPr>
      <xdr:spPr>
        <a:xfrm>
          <a:off x="7451090" y="85750400"/>
          <a:ext cx="612775" cy="6000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5937099-71D9-424D-BC20-CF2451754977}" type="TxLink">
            <a:rPr lang="en-US" sz="2400" b="0" i="0" u="none" strike="noStrike">
              <a:solidFill>
                <a:schemeClr val="tx1"/>
              </a:solidFill>
              <a:latin typeface="Bebas" panose="020B0606020202050201" pitchFamily="34" charset="0"/>
            </a:rPr>
            <a:t>20%</a:t>
          </a:fld>
          <a:endParaRPr lang="pt-BR" sz="2000">
            <a:solidFill>
              <a:schemeClr val="tx1"/>
            </a:solidFill>
            <a:latin typeface="Bebas" panose="020B0606020202050201" pitchFamily="34" charset="0"/>
          </a:endParaRPr>
        </a:p>
      </xdr:txBody>
    </xdr:sp>
    <xdr:clientData/>
  </xdr:twoCellAnchor>
  <xdr:twoCellAnchor>
    <xdr:from>
      <xdr:col>2</xdr:col>
      <xdr:colOff>285751</xdr:colOff>
      <xdr:row>1</xdr:row>
      <xdr:rowOff>0</xdr:rowOff>
    </xdr:from>
    <xdr:to>
      <xdr:col>5</xdr:col>
      <xdr:colOff>498232</xdr:colOff>
      <xdr:row>2</xdr:row>
      <xdr:rowOff>0</xdr:rowOff>
    </xdr:to>
    <xdr:sp>
      <xdr:nvSpPr>
        <xdr:cNvPr id="26" name="Retângulo Arredondado 25">
          <a:hlinkClick xmlns:r="http://schemas.openxmlformats.org/officeDocument/2006/relationships" r:id="rId14"/>
        </xdr:cNvPr>
        <xdr:cNvSpPr/>
      </xdr:nvSpPr>
      <xdr:spPr>
        <a:xfrm>
          <a:off x="5927725" y="223520"/>
          <a:ext cx="2345690" cy="29464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Língua Portuguesa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285751</xdr:colOff>
      <xdr:row>2</xdr:row>
      <xdr:rowOff>82020</xdr:rowOff>
    </xdr:from>
    <xdr:to>
      <xdr:col>5</xdr:col>
      <xdr:colOff>498232</xdr:colOff>
      <xdr:row>3</xdr:row>
      <xdr:rowOff>145521</xdr:rowOff>
    </xdr:to>
    <xdr:sp>
      <xdr:nvSpPr>
        <xdr:cNvPr id="27" name="Retângulo Arredondado 26">
          <a:hlinkClick xmlns:r="http://schemas.openxmlformats.org/officeDocument/2006/relationships" r:id="rId15"/>
        </xdr:cNvPr>
        <xdr:cNvSpPr/>
      </xdr:nvSpPr>
      <xdr:spPr>
        <a:xfrm>
          <a:off x="5927725" y="600075"/>
          <a:ext cx="2345690" cy="2870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Raciocínio</a:t>
          </a:r>
          <a:r>
            <a:rPr lang="pt-BR" sz="1400" baseline="0">
              <a:latin typeface="Calibri" panose="020F0502020204030204" pitchFamily="34" charset="0"/>
              <a:cs typeface="Calibri" panose="020F0502020204030204" pitchFamily="34" charset="0"/>
            </a:rPr>
            <a:t> Lógico Matemático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285751</xdr:colOff>
      <xdr:row>4</xdr:row>
      <xdr:rowOff>26458</xdr:rowOff>
    </xdr:from>
    <xdr:to>
      <xdr:col>5</xdr:col>
      <xdr:colOff>498232</xdr:colOff>
      <xdr:row>5</xdr:row>
      <xdr:rowOff>89958</xdr:rowOff>
    </xdr:to>
    <xdr:sp>
      <xdr:nvSpPr>
        <xdr:cNvPr id="28" name="Retângulo Arredondado 27">
          <a:hlinkClick xmlns:r="http://schemas.openxmlformats.org/officeDocument/2006/relationships" r:id="rId16"/>
        </xdr:cNvPr>
        <xdr:cNvSpPr/>
      </xdr:nvSpPr>
      <xdr:spPr>
        <a:xfrm>
          <a:off x="5927725" y="991235"/>
          <a:ext cx="2345690" cy="2870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Informática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285751</xdr:colOff>
      <xdr:row>5</xdr:row>
      <xdr:rowOff>171978</xdr:rowOff>
    </xdr:from>
    <xdr:to>
      <xdr:col>5</xdr:col>
      <xdr:colOff>498232</xdr:colOff>
      <xdr:row>5</xdr:row>
      <xdr:rowOff>436562</xdr:rowOff>
    </xdr:to>
    <xdr:sp>
      <xdr:nvSpPr>
        <xdr:cNvPr id="29" name="Retângulo Arredondado 28">
          <a:hlinkClick xmlns:r="http://schemas.openxmlformats.org/officeDocument/2006/relationships" r:id="rId17"/>
        </xdr:cNvPr>
        <xdr:cNvSpPr/>
      </xdr:nvSpPr>
      <xdr:spPr>
        <a:xfrm>
          <a:off x="5927725" y="1360170"/>
          <a:ext cx="2345690" cy="2647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Física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285751</xdr:colOff>
      <xdr:row>5</xdr:row>
      <xdr:rowOff>518582</xdr:rowOff>
    </xdr:from>
    <xdr:to>
      <xdr:col>5</xdr:col>
      <xdr:colOff>498232</xdr:colOff>
      <xdr:row>5</xdr:row>
      <xdr:rowOff>783166</xdr:rowOff>
    </xdr:to>
    <xdr:sp>
      <xdr:nvSpPr>
        <xdr:cNvPr id="30" name="Retângulo Arredondado 29">
          <a:hlinkClick xmlns:r="http://schemas.openxmlformats.org/officeDocument/2006/relationships" r:id="rId18"/>
        </xdr:cNvPr>
        <xdr:cNvSpPr/>
      </xdr:nvSpPr>
      <xdr:spPr>
        <a:xfrm>
          <a:off x="5927725" y="1706880"/>
          <a:ext cx="2345690" cy="2647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Ética e Cidadania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666232</xdr:colOff>
      <xdr:row>1</xdr:row>
      <xdr:rowOff>1</xdr:rowOff>
    </xdr:from>
    <xdr:to>
      <xdr:col>8</xdr:col>
      <xdr:colOff>654539</xdr:colOff>
      <xdr:row>2</xdr:row>
      <xdr:rowOff>1</xdr:rowOff>
    </xdr:to>
    <xdr:sp>
      <xdr:nvSpPr>
        <xdr:cNvPr id="31" name="Retângulo Arredondado 30">
          <a:hlinkClick xmlns:r="http://schemas.openxmlformats.org/officeDocument/2006/relationships" r:id="rId19"/>
        </xdr:cNvPr>
        <xdr:cNvSpPr/>
      </xdr:nvSpPr>
      <xdr:spPr>
        <a:xfrm>
          <a:off x="8441690" y="223520"/>
          <a:ext cx="2334895" cy="29464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Geopolítica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666232</xdr:colOff>
      <xdr:row>2</xdr:row>
      <xdr:rowOff>82021</xdr:rowOff>
    </xdr:from>
    <xdr:to>
      <xdr:col>8</xdr:col>
      <xdr:colOff>654539</xdr:colOff>
      <xdr:row>3</xdr:row>
      <xdr:rowOff>145522</xdr:rowOff>
    </xdr:to>
    <xdr:sp>
      <xdr:nvSpPr>
        <xdr:cNvPr id="32" name="Retângulo Arredondado 31">
          <a:hlinkClick xmlns:r="http://schemas.openxmlformats.org/officeDocument/2006/relationships" r:id="rId20"/>
        </xdr:cNvPr>
        <xdr:cNvSpPr/>
      </xdr:nvSpPr>
      <xdr:spPr>
        <a:xfrm>
          <a:off x="8441690" y="600075"/>
          <a:ext cx="2334895" cy="2870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Língua Estrangeira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666232</xdr:colOff>
      <xdr:row>4</xdr:row>
      <xdr:rowOff>26459</xdr:rowOff>
    </xdr:from>
    <xdr:to>
      <xdr:col>8</xdr:col>
      <xdr:colOff>654539</xdr:colOff>
      <xdr:row>5</xdr:row>
      <xdr:rowOff>89959</xdr:rowOff>
    </xdr:to>
    <xdr:sp>
      <xdr:nvSpPr>
        <xdr:cNvPr id="33" name="Retângulo Arredondado 32">
          <a:hlinkClick xmlns:r="http://schemas.openxmlformats.org/officeDocument/2006/relationships" r:id="rId21"/>
        </xdr:cNvPr>
        <xdr:cNvSpPr/>
      </xdr:nvSpPr>
      <xdr:spPr>
        <a:xfrm>
          <a:off x="8441690" y="991235"/>
          <a:ext cx="2334895" cy="2870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Legislação de Trânsito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666232</xdr:colOff>
      <xdr:row>5</xdr:row>
      <xdr:rowOff>171979</xdr:rowOff>
    </xdr:from>
    <xdr:to>
      <xdr:col>8</xdr:col>
      <xdr:colOff>654539</xdr:colOff>
      <xdr:row>5</xdr:row>
      <xdr:rowOff>436563</xdr:rowOff>
    </xdr:to>
    <xdr:sp>
      <xdr:nvSpPr>
        <xdr:cNvPr id="34" name="Retângulo Arredondado 33">
          <a:hlinkClick xmlns:r="http://schemas.openxmlformats.org/officeDocument/2006/relationships" r:id="rId22"/>
        </xdr:cNvPr>
        <xdr:cNvSpPr/>
      </xdr:nvSpPr>
      <xdr:spPr>
        <a:xfrm>
          <a:off x="8441690" y="1360170"/>
          <a:ext cx="2334895" cy="2647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Direito</a:t>
          </a:r>
          <a:r>
            <a:rPr lang="pt-BR" sz="1400" baseline="0">
              <a:latin typeface="Calibri" panose="020F0502020204030204" pitchFamily="34" charset="0"/>
              <a:cs typeface="Calibri" panose="020F0502020204030204" pitchFamily="34" charset="0"/>
            </a:rPr>
            <a:t> Administrativo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666232</xdr:colOff>
      <xdr:row>5</xdr:row>
      <xdr:rowOff>518583</xdr:rowOff>
    </xdr:from>
    <xdr:to>
      <xdr:col>8</xdr:col>
      <xdr:colOff>654539</xdr:colOff>
      <xdr:row>5</xdr:row>
      <xdr:rowOff>783167</xdr:rowOff>
    </xdr:to>
    <xdr:sp>
      <xdr:nvSpPr>
        <xdr:cNvPr id="35" name="Retângulo Arredondado 34">
          <a:hlinkClick xmlns:r="http://schemas.openxmlformats.org/officeDocument/2006/relationships" r:id="rId23"/>
        </xdr:cNvPr>
        <xdr:cNvSpPr/>
      </xdr:nvSpPr>
      <xdr:spPr>
        <a:xfrm>
          <a:off x="8441690" y="1706880"/>
          <a:ext cx="2334895" cy="2647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Direito</a:t>
          </a:r>
          <a:r>
            <a:rPr lang="pt-BR" sz="1400" baseline="0">
              <a:latin typeface="Calibri" panose="020F0502020204030204" pitchFamily="34" charset="0"/>
              <a:cs typeface="Calibri" panose="020F0502020204030204" pitchFamily="34" charset="0"/>
            </a:rPr>
            <a:t> Constitucional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824982</xdr:colOff>
      <xdr:row>0</xdr:row>
      <xdr:rowOff>196274</xdr:rowOff>
    </xdr:from>
    <xdr:to>
      <xdr:col>11</xdr:col>
      <xdr:colOff>813289</xdr:colOff>
      <xdr:row>1</xdr:row>
      <xdr:rowOff>254002</xdr:rowOff>
    </xdr:to>
    <xdr:sp>
      <xdr:nvSpPr>
        <xdr:cNvPr id="36" name="Retângulo Arredondado 35">
          <a:hlinkClick xmlns:r="http://schemas.openxmlformats.org/officeDocument/2006/relationships" r:id="rId24"/>
        </xdr:cNvPr>
        <xdr:cNvSpPr/>
      </xdr:nvSpPr>
      <xdr:spPr>
        <a:xfrm>
          <a:off x="10904855" y="196215"/>
          <a:ext cx="2346960" cy="28130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Direito Penal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824982</xdr:colOff>
      <xdr:row>2</xdr:row>
      <xdr:rowOff>70476</xdr:rowOff>
    </xdr:from>
    <xdr:to>
      <xdr:col>11</xdr:col>
      <xdr:colOff>813289</xdr:colOff>
      <xdr:row>3</xdr:row>
      <xdr:rowOff>133977</xdr:rowOff>
    </xdr:to>
    <xdr:sp>
      <xdr:nvSpPr>
        <xdr:cNvPr id="37" name="Retângulo Arredondado 36">
          <a:hlinkClick xmlns:r="http://schemas.openxmlformats.org/officeDocument/2006/relationships" r:id="rId25"/>
        </xdr:cNvPr>
        <xdr:cNvSpPr/>
      </xdr:nvSpPr>
      <xdr:spPr>
        <a:xfrm>
          <a:off x="10904855" y="588010"/>
          <a:ext cx="2346960" cy="2870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Direito</a:t>
          </a:r>
          <a:r>
            <a:rPr lang="pt-BR" sz="1400" baseline="0">
              <a:latin typeface="Calibri" panose="020F0502020204030204" pitchFamily="34" charset="0"/>
              <a:cs typeface="Calibri" panose="020F0502020204030204" pitchFamily="34" charset="0"/>
            </a:rPr>
            <a:t> Processual Penal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824982</xdr:colOff>
      <xdr:row>4</xdr:row>
      <xdr:rowOff>14914</xdr:rowOff>
    </xdr:from>
    <xdr:to>
      <xdr:col>11</xdr:col>
      <xdr:colOff>813289</xdr:colOff>
      <xdr:row>5</xdr:row>
      <xdr:rowOff>78414</xdr:rowOff>
    </xdr:to>
    <xdr:sp>
      <xdr:nvSpPr>
        <xdr:cNvPr id="38" name="Retângulo Arredondado 37">
          <a:hlinkClick xmlns:r="http://schemas.openxmlformats.org/officeDocument/2006/relationships" r:id="rId26"/>
        </xdr:cNvPr>
        <xdr:cNvSpPr/>
      </xdr:nvSpPr>
      <xdr:spPr>
        <a:xfrm>
          <a:off x="10904855" y="979805"/>
          <a:ext cx="2346960" cy="287020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Legislação Especial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824982</xdr:colOff>
      <xdr:row>5</xdr:row>
      <xdr:rowOff>160434</xdr:rowOff>
    </xdr:from>
    <xdr:to>
      <xdr:col>11</xdr:col>
      <xdr:colOff>813289</xdr:colOff>
      <xdr:row>5</xdr:row>
      <xdr:rowOff>425018</xdr:rowOff>
    </xdr:to>
    <xdr:sp>
      <xdr:nvSpPr>
        <xdr:cNvPr id="39" name="Retângulo Arredondado 38">
          <a:hlinkClick xmlns:r="http://schemas.openxmlformats.org/officeDocument/2006/relationships" r:id="rId27"/>
        </xdr:cNvPr>
        <xdr:cNvSpPr/>
      </xdr:nvSpPr>
      <xdr:spPr>
        <a:xfrm>
          <a:off x="10904855" y="1348740"/>
          <a:ext cx="2346960" cy="26479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Calibri" panose="020F0502020204030204" pitchFamily="34" charset="0"/>
              <a:cs typeface="Calibri" panose="020F0502020204030204" pitchFamily="34" charset="0"/>
            </a:rPr>
            <a:t>Direito</a:t>
          </a:r>
          <a:r>
            <a:rPr lang="pt-BR" sz="1400" baseline="0">
              <a:latin typeface="Calibri" panose="020F0502020204030204" pitchFamily="34" charset="0"/>
              <a:cs typeface="Calibri" panose="020F0502020204030204" pitchFamily="34" charset="0"/>
            </a:rPr>
            <a:t>s Humanos</a:t>
          </a:r>
          <a:endParaRPr lang="pt-BR" sz="14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450274</xdr:colOff>
      <xdr:row>6</xdr:row>
      <xdr:rowOff>196274</xdr:rowOff>
    </xdr:from>
    <xdr:to>
      <xdr:col>6</xdr:col>
      <xdr:colOff>831272</xdr:colOff>
      <xdr:row>8</xdr:row>
      <xdr:rowOff>219364</xdr:rowOff>
    </xdr:to>
    <xdr:grpSp>
      <xdr:nvGrpSpPr>
        <xdr:cNvPr id="46" name="Agrupar 45">
          <a:hlinkClick xmlns:r="http://schemas.openxmlformats.org/officeDocument/2006/relationships" r:id="rId28"/>
        </xdr:cNvPr>
        <xdr:cNvGrpSpPr/>
      </xdr:nvGrpSpPr>
      <xdr:grpSpPr>
        <a:xfrm>
          <a:off x="8225790" y="2400935"/>
          <a:ext cx="1114425" cy="509905"/>
          <a:chOff x="8763001" y="2309092"/>
          <a:chExt cx="1212271" cy="496454"/>
        </a:xfrm>
      </xdr:grpSpPr>
      <xdr:sp>
        <xdr:nvSpPr>
          <xdr:cNvPr id="41" name="Retângulo Arredondado 40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45" name="Gráfico 44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450273</xdr:colOff>
      <xdr:row>33</xdr:row>
      <xdr:rowOff>0</xdr:rowOff>
    </xdr:from>
    <xdr:to>
      <xdr:col>6</xdr:col>
      <xdr:colOff>831271</xdr:colOff>
      <xdr:row>34</xdr:row>
      <xdr:rowOff>242454</xdr:rowOff>
    </xdr:to>
    <xdr:grpSp>
      <xdr:nvGrpSpPr>
        <xdr:cNvPr id="47" name="Agrupar 46">
          <a:hlinkClick xmlns:r="http://schemas.openxmlformats.org/officeDocument/2006/relationships" r:id="rId28"/>
        </xdr:cNvPr>
        <xdr:cNvGrpSpPr/>
      </xdr:nvGrpSpPr>
      <xdr:grpSpPr>
        <a:xfrm>
          <a:off x="8225790" y="9206865"/>
          <a:ext cx="1114425" cy="495935"/>
          <a:chOff x="8763001" y="2309092"/>
          <a:chExt cx="1212271" cy="496454"/>
        </a:xfrm>
      </xdr:grpSpPr>
      <xdr:sp>
        <xdr:nvSpPr>
          <xdr:cNvPr id="48" name="Retângulo Arredondado 47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49" name="Gráfico 48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473364</xdr:colOff>
      <xdr:row>58</xdr:row>
      <xdr:rowOff>242455</xdr:rowOff>
    </xdr:from>
    <xdr:to>
      <xdr:col>7</xdr:col>
      <xdr:colOff>23089</xdr:colOff>
      <xdr:row>60</xdr:row>
      <xdr:rowOff>230909</xdr:rowOff>
    </xdr:to>
    <xdr:grpSp>
      <xdr:nvGrpSpPr>
        <xdr:cNvPr id="50" name="Agrupar 49">
          <a:hlinkClick xmlns:r="http://schemas.openxmlformats.org/officeDocument/2006/relationships" r:id="rId28"/>
        </xdr:cNvPr>
        <xdr:cNvGrpSpPr/>
      </xdr:nvGrpSpPr>
      <xdr:grpSpPr>
        <a:xfrm>
          <a:off x="8248650" y="16510000"/>
          <a:ext cx="1114425" cy="496570"/>
          <a:chOff x="8763001" y="2309092"/>
          <a:chExt cx="1212271" cy="496454"/>
        </a:xfrm>
      </xdr:grpSpPr>
      <xdr:sp>
        <xdr:nvSpPr>
          <xdr:cNvPr id="51" name="Retângulo Arredondado 50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52" name="Gráfico 51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461819</xdr:colOff>
      <xdr:row>72</xdr:row>
      <xdr:rowOff>219364</xdr:rowOff>
    </xdr:from>
    <xdr:to>
      <xdr:col>7</xdr:col>
      <xdr:colOff>11544</xdr:colOff>
      <xdr:row>74</xdr:row>
      <xdr:rowOff>207818</xdr:rowOff>
    </xdr:to>
    <xdr:grpSp>
      <xdr:nvGrpSpPr>
        <xdr:cNvPr id="53" name="Agrupar 52">
          <a:hlinkClick xmlns:r="http://schemas.openxmlformats.org/officeDocument/2006/relationships" r:id="rId28"/>
        </xdr:cNvPr>
        <xdr:cNvGrpSpPr/>
      </xdr:nvGrpSpPr>
      <xdr:grpSpPr>
        <a:xfrm>
          <a:off x="8237220" y="21033740"/>
          <a:ext cx="1114425" cy="496570"/>
          <a:chOff x="8763001" y="2309092"/>
          <a:chExt cx="1212271" cy="496454"/>
        </a:xfrm>
      </xdr:grpSpPr>
      <xdr:sp>
        <xdr:nvSpPr>
          <xdr:cNvPr id="54" name="Retângulo Arredondado 53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55" name="Gráfico 54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461819</xdr:colOff>
      <xdr:row>82</xdr:row>
      <xdr:rowOff>230909</xdr:rowOff>
    </xdr:from>
    <xdr:to>
      <xdr:col>7</xdr:col>
      <xdr:colOff>11544</xdr:colOff>
      <xdr:row>84</xdr:row>
      <xdr:rowOff>219363</xdr:rowOff>
    </xdr:to>
    <xdr:grpSp>
      <xdr:nvGrpSpPr>
        <xdr:cNvPr id="59" name="Agrupar 58">
          <a:hlinkClick xmlns:r="http://schemas.openxmlformats.org/officeDocument/2006/relationships" r:id="rId28"/>
        </xdr:cNvPr>
        <xdr:cNvGrpSpPr/>
      </xdr:nvGrpSpPr>
      <xdr:grpSpPr>
        <a:xfrm>
          <a:off x="8237220" y="23724870"/>
          <a:ext cx="1114425" cy="496570"/>
          <a:chOff x="8763001" y="2309092"/>
          <a:chExt cx="1212271" cy="496454"/>
        </a:xfrm>
      </xdr:grpSpPr>
      <xdr:sp>
        <xdr:nvSpPr>
          <xdr:cNvPr id="60" name="Retângulo Arredondado 59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61" name="Gráfico 60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473364</xdr:colOff>
      <xdr:row>97</xdr:row>
      <xdr:rowOff>438728</xdr:rowOff>
    </xdr:from>
    <xdr:to>
      <xdr:col>7</xdr:col>
      <xdr:colOff>23089</xdr:colOff>
      <xdr:row>99</xdr:row>
      <xdr:rowOff>207818</xdr:rowOff>
    </xdr:to>
    <xdr:grpSp>
      <xdr:nvGrpSpPr>
        <xdr:cNvPr id="62" name="Agrupar 61">
          <a:hlinkClick xmlns:r="http://schemas.openxmlformats.org/officeDocument/2006/relationships" r:id="rId28"/>
        </xdr:cNvPr>
        <xdr:cNvGrpSpPr/>
      </xdr:nvGrpSpPr>
      <xdr:grpSpPr>
        <a:xfrm>
          <a:off x="8248650" y="28974415"/>
          <a:ext cx="1114425" cy="493395"/>
          <a:chOff x="8763001" y="2309092"/>
          <a:chExt cx="1212271" cy="496454"/>
        </a:xfrm>
      </xdr:grpSpPr>
      <xdr:sp>
        <xdr:nvSpPr>
          <xdr:cNvPr id="63" name="Retângulo Arredondado 62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64" name="Gráfico 63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461819</xdr:colOff>
      <xdr:row>108</xdr:row>
      <xdr:rowOff>230910</xdr:rowOff>
    </xdr:from>
    <xdr:to>
      <xdr:col>7</xdr:col>
      <xdr:colOff>11544</xdr:colOff>
      <xdr:row>110</xdr:row>
      <xdr:rowOff>219364</xdr:rowOff>
    </xdr:to>
    <xdr:grpSp>
      <xdr:nvGrpSpPr>
        <xdr:cNvPr id="65" name="Agrupar 64">
          <a:hlinkClick xmlns:r="http://schemas.openxmlformats.org/officeDocument/2006/relationships" r:id="rId28"/>
        </xdr:cNvPr>
        <xdr:cNvGrpSpPr/>
      </xdr:nvGrpSpPr>
      <xdr:grpSpPr>
        <a:xfrm>
          <a:off x="8237220" y="31979870"/>
          <a:ext cx="1114425" cy="496570"/>
          <a:chOff x="8763001" y="2309092"/>
          <a:chExt cx="1212271" cy="496454"/>
        </a:xfrm>
      </xdr:grpSpPr>
      <xdr:sp>
        <xdr:nvSpPr>
          <xdr:cNvPr id="66" name="Retângulo Arredondado 65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67" name="Gráfico 66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473364</xdr:colOff>
      <xdr:row>111</xdr:row>
      <xdr:rowOff>230909</xdr:rowOff>
    </xdr:from>
    <xdr:to>
      <xdr:col>7</xdr:col>
      <xdr:colOff>23089</xdr:colOff>
      <xdr:row>113</xdr:row>
      <xdr:rowOff>219363</xdr:rowOff>
    </xdr:to>
    <xdr:grpSp>
      <xdr:nvGrpSpPr>
        <xdr:cNvPr id="68" name="Agrupar 67">
          <a:hlinkClick xmlns:r="http://schemas.openxmlformats.org/officeDocument/2006/relationships" r:id="rId28"/>
        </xdr:cNvPr>
        <xdr:cNvGrpSpPr/>
      </xdr:nvGrpSpPr>
      <xdr:grpSpPr>
        <a:xfrm>
          <a:off x="8248650" y="32741870"/>
          <a:ext cx="1114425" cy="496570"/>
          <a:chOff x="8763001" y="2309092"/>
          <a:chExt cx="1212271" cy="496454"/>
        </a:xfrm>
      </xdr:grpSpPr>
      <xdr:sp>
        <xdr:nvSpPr>
          <xdr:cNvPr id="69" name="Retângulo Arredondado 68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70" name="Gráfico 69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484909</xdr:colOff>
      <xdr:row>149</xdr:row>
      <xdr:rowOff>415637</xdr:rowOff>
    </xdr:from>
    <xdr:to>
      <xdr:col>7</xdr:col>
      <xdr:colOff>34634</xdr:colOff>
      <xdr:row>151</xdr:row>
      <xdr:rowOff>207818</xdr:rowOff>
    </xdr:to>
    <xdr:grpSp>
      <xdr:nvGrpSpPr>
        <xdr:cNvPr id="71" name="Agrupar 70">
          <a:hlinkClick xmlns:r="http://schemas.openxmlformats.org/officeDocument/2006/relationships" r:id="rId28"/>
        </xdr:cNvPr>
        <xdr:cNvGrpSpPr/>
      </xdr:nvGrpSpPr>
      <xdr:grpSpPr>
        <a:xfrm>
          <a:off x="8260080" y="52776755"/>
          <a:ext cx="1114425" cy="513080"/>
          <a:chOff x="8763001" y="2309092"/>
          <a:chExt cx="1212271" cy="496454"/>
        </a:xfrm>
      </xdr:grpSpPr>
      <xdr:sp>
        <xdr:nvSpPr>
          <xdr:cNvPr id="72" name="Retângulo Arredondado 71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73" name="Gráfico 72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473364</xdr:colOff>
      <xdr:row>191</xdr:row>
      <xdr:rowOff>230910</xdr:rowOff>
    </xdr:from>
    <xdr:to>
      <xdr:col>7</xdr:col>
      <xdr:colOff>23089</xdr:colOff>
      <xdr:row>193</xdr:row>
      <xdr:rowOff>219364</xdr:rowOff>
    </xdr:to>
    <xdr:grpSp>
      <xdr:nvGrpSpPr>
        <xdr:cNvPr id="74" name="Agrupar 73">
          <a:hlinkClick xmlns:r="http://schemas.openxmlformats.org/officeDocument/2006/relationships" r:id="rId28"/>
        </xdr:cNvPr>
        <xdr:cNvGrpSpPr/>
      </xdr:nvGrpSpPr>
      <xdr:grpSpPr>
        <a:xfrm>
          <a:off x="8248650" y="63472695"/>
          <a:ext cx="1114425" cy="496570"/>
          <a:chOff x="8763001" y="2309092"/>
          <a:chExt cx="1212271" cy="496454"/>
        </a:xfrm>
      </xdr:grpSpPr>
      <xdr:sp>
        <xdr:nvSpPr>
          <xdr:cNvPr id="75" name="Retângulo Arredondado 74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76" name="Gráfico 75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484909</xdr:colOff>
      <xdr:row>220</xdr:row>
      <xdr:rowOff>219364</xdr:rowOff>
    </xdr:from>
    <xdr:to>
      <xdr:col>7</xdr:col>
      <xdr:colOff>34634</xdr:colOff>
      <xdr:row>222</xdr:row>
      <xdr:rowOff>207818</xdr:rowOff>
    </xdr:to>
    <xdr:grpSp>
      <xdr:nvGrpSpPr>
        <xdr:cNvPr id="77" name="Agrupar 76">
          <a:hlinkClick xmlns:r="http://schemas.openxmlformats.org/officeDocument/2006/relationships" r:id="rId28"/>
        </xdr:cNvPr>
        <xdr:cNvGrpSpPr/>
      </xdr:nvGrpSpPr>
      <xdr:grpSpPr>
        <a:xfrm>
          <a:off x="8260080" y="70827265"/>
          <a:ext cx="1114425" cy="496570"/>
          <a:chOff x="8763001" y="2309092"/>
          <a:chExt cx="1212271" cy="496454"/>
        </a:xfrm>
      </xdr:grpSpPr>
      <xdr:sp>
        <xdr:nvSpPr>
          <xdr:cNvPr id="78" name="Retângulo Arredondado 77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79" name="Gráfico 78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473364</xdr:colOff>
      <xdr:row>250</xdr:row>
      <xdr:rowOff>196273</xdr:rowOff>
    </xdr:from>
    <xdr:to>
      <xdr:col>7</xdr:col>
      <xdr:colOff>23089</xdr:colOff>
      <xdr:row>253</xdr:row>
      <xdr:rowOff>57727</xdr:rowOff>
    </xdr:to>
    <xdr:grpSp>
      <xdr:nvGrpSpPr>
        <xdr:cNvPr id="80" name="Agrupar 79">
          <a:hlinkClick xmlns:r="http://schemas.openxmlformats.org/officeDocument/2006/relationships" r:id="rId28"/>
        </xdr:cNvPr>
        <xdr:cNvGrpSpPr/>
      </xdr:nvGrpSpPr>
      <xdr:grpSpPr>
        <a:xfrm>
          <a:off x="8248650" y="77784325"/>
          <a:ext cx="1114425" cy="541020"/>
          <a:chOff x="8763001" y="2309092"/>
          <a:chExt cx="1212271" cy="496454"/>
        </a:xfrm>
      </xdr:grpSpPr>
      <xdr:sp>
        <xdr:nvSpPr>
          <xdr:cNvPr id="81" name="Retângulo Arredondado 80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82" name="Gráfico 81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473364</xdr:colOff>
      <xdr:row>270</xdr:row>
      <xdr:rowOff>196272</xdr:rowOff>
    </xdr:from>
    <xdr:to>
      <xdr:col>7</xdr:col>
      <xdr:colOff>23089</xdr:colOff>
      <xdr:row>273</xdr:row>
      <xdr:rowOff>57726</xdr:rowOff>
    </xdr:to>
    <xdr:grpSp>
      <xdr:nvGrpSpPr>
        <xdr:cNvPr id="83" name="Agrupar 82">
          <a:hlinkClick xmlns:r="http://schemas.openxmlformats.org/officeDocument/2006/relationships" r:id="rId28"/>
        </xdr:cNvPr>
        <xdr:cNvGrpSpPr/>
      </xdr:nvGrpSpPr>
      <xdr:grpSpPr>
        <a:xfrm>
          <a:off x="8248650" y="82497930"/>
          <a:ext cx="1114425" cy="541020"/>
          <a:chOff x="8763001" y="2309092"/>
          <a:chExt cx="1212271" cy="496454"/>
        </a:xfrm>
      </xdr:grpSpPr>
      <xdr:sp>
        <xdr:nvSpPr>
          <xdr:cNvPr id="84" name="Retângulo Arredondado 83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85" name="Gráfico 84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484909</xdr:colOff>
      <xdr:row>283</xdr:row>
      <xdr:rowOff>184727</xdr:rowOff>
    </xdr:from>
    <xdr:to>
      <xdr:col>7</xdr:col>
      <xdr:colOff>34634</xdr:colOff>
      <xdr:row>286</xdr:row>
      <xdr:rowOff>46181</xdr:rowOff>
    </xdr:to>
    <xdr:grpSp>
      <xdr:nvGrpSpPr>
        <xdr:cNvPr id="86" name="Agrupar 85">
          <a:hlinkClick xmlns:r="http://schemas.openxmlformats.org/officeDocument/2006/relationships" r:id="rId28"/>
        </xdr:cNvPr>
        <xdr:cNvGrpSpPr/>
      </xdr:nvGrpSpPr>
      <xdr:grpSpPr>
        <a:xfrm>
          <a:off x="8260080" y="85401150"/>
          <a:ext cx="1114425" cy="541655"/>
          <a:chOff x="8763001" y="2309092"/>
          <a:chExt cx="1212271" cy="496454"/>
        </a:xfrm>
      </xdr:grpSpPr>
      <xdr:sp>
        <xdr:nvSpPr>
          <xdr:cNvPr id="87" name="Retângulo Arredondado 86">
            <a:hlinkClick xmlns:r="http://schemas.openxmlformats.org/officeDocument/2006/relationships" r:id="rId28"/>
          </xdr:cNvPr>
          <xdr:cNvSpPr/>
        </xdr:nvSpPr>
        <xdr:spPr>
          <a:xfrm>
            <a:off x="8763001" y="2424545"/>
            <a:ext cx="750454" cy="254000"/>
          </a:xfrm>
          <a:prstGeom prst="roundRect">
            <a:avLst/>
          </a:prstGeom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Bold" pitchFamily="2" charset="0"/>
                <a:cs typeface="Bold" pitchFamily="2" charset="0"/>
              </a:rPr>
              <a:t>TOPO</a:t>
            </a:r>
            <a:endParaRPr lang="pt-BR" sz="1100">
              <a:latin typeface="Bold" pitchFamily="2" charset="0"/>
              <a:cs typeface="Bold" pitchFamily="2" charset="0"/>
            </a:endParaRPr>
          </a:p>
        </xdr:txBody>
      </xdr:sp>
      <xdr:pic>
        <xdr:nvPicPr>
          <xdr:cNvPr id="88" name="Gráfico 87" descr="Círculo com seta para a esquerda com preenchimento sólido"/>
          <xdr:cNvPicPr>
            <a:picLocks noChangeAspect="1"/>
          </xdr:cNvPicPr>
        </xdr:nvPicPr>
        <xdr:blipFill>
          <a:blip r:embed="rId29">
            <a:extLst>
              <a:ext uri="{96DAC541-7B7A-43D3-8B79-37D633B846F1}">
                <asvg:svgBlip xmlns:asvg="http://schemas.microsoft.com/office/drawing/2016/SVG/main" r:embed="rId30"/>
              </a:ext>
            </a:extLst>
          </a:blip>
          <a:stretch>
            <a:fillRect/>
          </a:stretch>
        </xdr:blipFill>
        <xdr:spPr>
          <a:xfrm rot="5400000">
            <a:off x="9478818" y="2309092"/>
            <a:ext cx="496454" cy="49645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0.02275</cdr:x>
      <cdr:y>0.0234</cdr:y>
    </cdr:from>
    <cdr:to>
      <cdr:x>0.92322</cdr:x>
      <cdr:y>0.80839</cdr:y>
    </cdr:to>
    <cdr:sp textlink="'Edital PRF'!$F$65"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50800" y="50800"/>
          <a:ext cx="2010834" cy="1703916"/>
        </a:xfrm>
        <a:prstGeom xmlns:a="http://schemas.openxmlformats.org/drawingml/2006/main" prst="rect">
          <a:avLst/>
        </a:prstGeom>
        <a:noFill/>
        <a:ln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pt-BR" sz="4800">
              <a:latin typeface="Bebas" panose="020B0606020202050201" pitchFamily="34" charset="0"/>
            </a:rPr>
            <a:t>21%</a:t>
          </a:fld>
          <a:endParaRPr lang="pt-BR" sz="4800">
            <a:latin typeface="Bebas" panose="020B0606020202050201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0.18519</cdr:x>
      <cdr:y>0.22656</cdr:y>
    </cdr:from>
    <cdr:to>
      <cdr:x>0.82099</cdr:x>
      <cdr:y>0.72621</cdr:y>
    </cdr:to>
    <cdr:sp textlink="'Edital PRF'!$F$105"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17501" y="350308"/>
          <a:ext cx="1090083" cy="772583"/>
        </a:xfrm>
        <a:prstGeom xmlns:a="http://schemas.openxmlformats.org/drawingml/2006/main" prst="rect">
          <a:avLst/>
        </a:prstGeom>
        <a:noFill/>
        <a:ln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anchor="ctr"/>
        <a:lstStyle/>
        <a:p>
          <a:pPr algn="ctr"/>
          <a:fld id="{5689D0C1-FEE8-1F42-9C26-FCD74AF7F0E9}" type="TxLink">
            <a:rPr lang="en-US" sz="3600" b="1" i="0" u="none" strike="noStrike" kern="1200">
              <a:solidFill>
                <a:schemeClr val="tx1"/>
              </a:solidFill>
              <a:latin typeface="Bebas" panose="020B0606020202050201" pitchFamily="34" charset="0"/>
            </a:rPr>
            <a:t>18%</a:t>
          </a:fld>
          <a:endParaRPr lang="pt-BR" sz="3600" b="1" kern="1200">
            <a:solidFill>
              <a:schemeClr val="tx1"/>
            </a:solidFill>
            <a:latin typeface="Bebas" panose="020B0606020202050201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0.21341</cdr:x>
      <cdr:y>0.22656</cdr:y>
    </cdr:from>
    <cdr:to>
      <cdr:x>0.79878</cdr:x>
      <cdr:y>0.77413</cdr:y>
    </cdr:to>
    <cdr:sp textlink="'Edital PRF'!$F$118"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70417" y="350308"/>
          <a:ext cx="1016000" cy="846667"/>
        </a:xfrm>
        <a:prstGeom xmlns:a="http://schemas.openxmlformats.org/drawingml/2006/main" prst="rect">
          <a:avLst/>
        </a:prstGeom>
        <a:noFill/>
        <a:ln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anchor="ctr"/>
        <a:lstStyle/>
        <a:p>
          <a:pPr algn="ctr"/>
          <a:fld id="{A7B6405D-5E5B-3E48-BD98-EE688DD7B877}" type="TxLink">
            <a:rPr lang="en-US" sz="3600" b="1" i="0" u="none" strike="noStrike" kern="1200">
              <a:solidFill>
                <a:schemeClr val="tx1"/>
              </a:solidFill>
              <a:latin typeface="Bebas" panose="020B0606020202050201" pitchFamily="34" charset="0"/>
            </a:rPr>
            <a:t>11%</a:t>
          </a:fld>
          <a:endParaRPr lang="pt-BR" sz="3600" b="1" kern="1200">
            <a:solidFill>
              <a:schemeClr val="tx1"/>
            </a:solidFill>
            <a:latin typeface="Bebas" panose="020B0606020202050201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0.22561</cdr:x>
      <cdr:y>0.17743</cdr:y>
    </cdr:from>
    <cdr:to>
      <cdr:x>0.80488</cdr:x>
      <cdr:y>0.77566</cdr:y>
    </cdr:to>
    <cdr:sp textlink="'Edital PRF'!$F$157"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91584" y="276224"/>
          <a:ext cx="1005417" cy="931333"/>
        </a:xfrm>
        <a:prstGeom xmlns:a="http://schemas.openxmlformats.org/drawingml/2006/main" prst="rect">
          <a:avLst/>
        </a:prstGeom>
        <a:noFill/>
        <a:ln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anchor="ctr"/>
        <a:lstStyle/>
        <a:p>
          <a:pPr algn="ctr"/>
          <a:fld id="{3742B5E6-B1C9-6844-A5F0-534A10D699EC}" type="TxLink">
            <a:rPr lang="en-US" sz="3600" b="0" i="0" u="none" strike="noStrike" kern="1200">
              <a:solidFill>
                <a:schemeClr val="tx1"/>
              </a:solidFill>
              <a:latin typeface="Bebas" panose="020B0606020202050201" pitchFamily="34" charset="0"/>
            </a:rPr>
            <a:t>17%</a:t>
          </a:fld>
          <a:endParaRPr lang="pt-BR" sz="3600" kern="1200">
            <a:solidFill>
              <a:schemeClr val="tx1"/>
            </a:solidFill>
            <a:latin typeface="Bebas" panose="020B0606020202050201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0.24074</cdr:x>
      <cdr:y>0.19103</cdr:y>
    </cdr:from>
    <cdr:to>
      <cdr:x>0.80864</cdr:x>
      <cdr:y>0.74847</cdr:y>
    </cdr:to>
    <cdr:sp textlink="'Edital PRF'!$F$200"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12751" y="297391"/>
          <a:ext cx="973666" cy="867833"/>
        </a:xfrm>
        <a:prstGeom xmlns:a="http://schemas.openxmlformats.org/drawingml/2006/main" prst="rect">
          <a:avLst/>
        </a:prstGeom>
        <a:noFill/>
        <a:ln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anchor="ctr"/>
        <a:lstStyle/>
        <a:p>
          <a:pPr algn="ctr"/>
          <a:fld id="{1DED52FD-3173-FE42-ABDD-BB3286DAF0A1}" type="TxLink">
            <a:rPr lang="en-US" sz="3600" b="1" i="0" u="none" strike="noStrike" kern="1200">
              <a:solidFill>
                <a:schemeClr val="tx1"/>
              </a:solidFill>
              <a:latin typeface="Bebas" panose="020B0606020202050201" pitchFamily="34" charset="0"/>
            </a:rPr>
            <a:t>10%</a:t>
          </a:fld>
          <a:endParaRPr lang="pt-BR" sz="3600" b="1" kern="1200">
            <a:solidFill>
              <a:schemeClr val="tx1"/>
            </a:solidFill>
            <a:latin typeface="Bebas" panose="020B0606020202050201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0.21951</cdr:x>
      <cdr:y>0.20602</cdr:y>
    </cdr:from>
    <cdr:to>
      <cdr:x>0.81707</cdr:x>
      <cdr:y>0.77413</cdr:y>
    </cdr:to>
    <cdr:sp textlink="'Edital PRF'!$F$228"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381000" y="318558"/>
          <a:ext cx="1037167" cy="878416"/>
        </a:xfrm>
        <a:prstGeom xmlns:a="http://schemas.openxmlformats.org/drawingml/2006/main" prst="rect">
          <a:avLst/>
        </a:prstGeom>
        <a:noFill/>
        <a:ln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anchor="ctr"/>
        <a:lstStyle/>
        <a:p>
          <a:pPr algn="ctr"/>
          <a:fld id="{0C7C2005-627D-754B-A21E-A249EC516F2F}" type="TxLink">
            <a:rPr lang="en-US" sz="3600" b="1" i="0" u="none" strike="noStrike" kern="1200">
              <a:solidFill>
                <a:schemeClr val="tx1"/>
              </a:solidFill>
              <a:latin typeface="Bebas" panose="020B0606020202050201" pitchFamily="34" charset="0"/>
            </a:rPr>
            <a:t>13%</a:t>
          </a:fld>
          <a:endParaRPr lang="pt-BR" sz="3600" b="1" kern="1200">
            <a:solidFill>
              <a:schemeClr val="tx1"/>
            </a:solidFill>
            <a:latin typeface="Bebas" panose="020B0606020202050201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0.23602</cdr:x>
      <cdr:y>0.19918</cdr:y>
    </cdr:from>
    <cdr:to>
      <cdr:x>0.81366</cdr:x>
      <cdr:y>0.76728</cdr:y>
    </cdr:to>
    <cdr:sp textlink="'Edital PRF'!$F$277"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402166" y="307976"/>
          <a:ext cx="984250" cy="878417"/>
        </a:xfrm>
        <a:prstGeom xmlns:a="http://schemas.openxmlformats.org/drawingml/2006/main" prst="rect">
          <a:avLst/>
        </a:prstGeom>
        <a:noFill/>
        <a:ln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 anchor="ctr"/>
        <a:lstStyle/>
        <a:p>
          <a:pPr algn="ctr"/>
          <a:fld id="{024AE08B-599F-604F-844F-3540911A3687}" type="TxLink">
            <a:rPr lang="en-US" sz="3600" b="0" i="0" u="none" strike="noStrike" kern="1200">
              <a:solidFill>
                <a:schemeClr val="tx1"/>
              </a:solidFill>
              <a:latin typeface="Bebas" panose="020B0606020202050201" pitchFamily="34" charset="0"/>
            </a:rPr>
            <a:t>15%</a:t>
          </a:fld>
          <a:endParaRPr lang="pt-BR" sz="3600" kern="1200">
            <a:solidFill>
              <a:schemeClr val="tx1"/>
            </a:solidFill>
            <a:latin typeface="Bebas" panose="020B0606020202050201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9"/>
  <sheetViews>
    <sheetView showGridLines="0" showRowColHeaders="0" tabSelected="1" topLeftCell="A262" workbookViewId="0">
      <selection activeCell="F42" sqref="F42"/>
    </sheetView>
  </sheetViews>
  <sheetFormatPr defaultColWidth="11" defaultRowHeight="17.6"/>
  <cols>
    <col min="1" max="1" width="2" customWidth="1"/>
    <col min="2" max="2" width="77.3303571428571" customWidth="1"/>
    <col min="3" max="3" width="8" customWidth="1"/>
  </cols>
  <sheetData>
    <row r="1" spans="1:13"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23.2" spans="1:13">
      <c r="B2" s="7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B3" s="8" cm="1">
        <f t="array" ref="B3">AVERAGE(C8:C289*1)</f>
        <v>0.156028368794326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>
      <c r="B4" s="8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B5" s="8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80" customHeight="1" spans="1:13">
      <c r="B6" s="9" t="s">
        <v>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18.35" spans="1:13">
      <c r="B7" s="10"/>
      <c r="C7" s="11" t="s">
        <v>2</v>
      </c>
      <c r="D7" s="12"/>
      <c r="E7" s="12"/>
      <c r="F7" s="12"/>
      <c r="G7" s="12"/>
      <c r="H7" s="6"/>
      <c r="I7" s="6"/>
      <c r="J7" s="6"/>
      <c r="K7" s="6"/>
      <c r="L7" s="6"/>
      <c r="M7" s="6"/>
    </row>
    <row r="8" ht="20" customHeight="1" spans="1:13">
      <c r="A8" s="13"/>
      <c r="B8" s="14" t="s">
        <v>3</v>
      </c>
      <c r="C8" s="15" t="b">
        <v>0</v>
      </c>
      <c r="D8" s="6"/>
      <c r="E8" s="6"/>
      <c r="F8" s="6"/>
      <c r="G8" s="16"/>
      <c r="H8" s="6"/>
      <c r="I8" s="6"/>
      <c r="J8" s="6"/>
      <c r="K8" s="6"/>
      <c r="L8" s="6"/>
      <c r="M8" s="6"/>
    </row>
    <row r="9" ht="20" customHeight="1" spans="1:13">
      <c r="A9" s="13"/>
      <c r="B9" s="17" t="s">
        <v>4</v>
      </c>
      <c r="C9" s="15" t="b">
        <v>1</v>
      </c>
      <c r="D9" s="6"/>
      <c r="E9" s="6"/>
      <c r="F9" s="6"/>
      <c r="G9" s="18"/>
      <c r="H9" s="6"/>
      <c r="I9" s="6"/>
      <c r="J9" s="6"/>
      <c r="K9" s="6"/>
      <c r="L9" s="6"/>
      <c r="M9" s="6"/>
    </row>
    <row r="10" ht="20" customHeight="1" spans="1:13">
      <c r="A10" s="13"/>
      <c r="B10" s="17" t="s">
        <v>5</v>
      </c>
      <c r="C10" s="15" t="b">
        <v>1</v>
      </c>
      <c r="D10" s="6"/>
      <c r="E10" s="6"/>
      <c r="F10" s="6"/>
      <c r="G10" s="18"/>
      <c r="H10" s="6"/>
      <c r="I10" s="6"/>
      <c r="J10" s="6"/>
      <c r="K10" s="6"/>
      <c r="L10" s="6"/>
      <c r="M10" s="6"/>
    </row>
    <row r="11" ht="20" customHeight="1" spans="1:13">
      <c r="A11" s="13"/>
      <c r="B11" s="17" t="s">
        <v>6</v>
      </c>
      <c r="C11" s="15" t="b">
        <v>0</v>
      </c>
      <c r="D11" s="6"/>
      <c r="E11" s="6"/>
      <c r="F11" s="6"/>
      <c r="G11" s="18"/>
      <c r="H11" s="6"/>
      <c r="I11" s="6"/>
      <c r="J11" s="6"/>
      <c r="K11" s="6"/>
      <c r="L11" s="6"/>
      <c r="M11" s="6"/>
    </row>
    <row r="12" ht="20" customHeight="1" spans="1:13">
      <c r="A12" s="13"/>
      <c r="B12" s="17" t="s">
        <v>7</v>
      </c>
      <c r="C12" s="15" t="b">
        <v>0</v>
      </c>
      <c r="D12" s="6"/>
      <c r="E12" s="6"/>
      <c r="F12" s="6"/>
      <c r="G12" s="18"/>
      <c r="H12" s="6"/>
      <c r="I12" s="6"/>
      <c r="J12" s="6"/>
      <c r="K12" s="6"/>
      <c r="L12" s="6"/>
      <c r="M12" s="6"/>
    </row>
    <row r="13" ht="33" customHeight="1" spans="1:13">
      <c r="A13" s="13"/>
      <c r="B13" s="19" t="s">
        <v>8</v>
      </c>
      <c r="C13" s="15" t="b">
        <v>0</v>
      </c>
      <c r="D13" s="6"/>
      <c r="E13" s="6"/>
      <c r="F13" s="6"/>
      <c r="G13" s="18"/>
      <c r="H13" s="6"/>
      <c r="I13" s="6"/>
      <c r="J13" s="6"/>
      <c r="K13" s="6"/>
      <c r="L13" s="6"/>
      <c r="M13" s="6"/>
    </row>
    <row r="14" ht="20" customHeight="1" spans="1:13">
      <c r="A14" s="13"/>
      <c r="B14" s="20" t="s">
        <v>9</v>
      </c>
      <c r="C14" s="15" t="b">
        <v>1</v>
      </c>
      <c r="D14" s="6"/>
      <c r="E14" s="21" t="s">
        <v>10</v>
      </c>
      <c r="F14" s="21">
        <v>26</v>
      </c>
      <c r="G14" s="18"/>
      <c r="H14" s="6"/>
      <c r="I14" s="6"/>
      <c r="J14" s="6"/>
      <c r="K14" s="6"/>
      <c r="L14" s="6"/>
      <c r="M14" s="6"/>
    </row>
    <row r="15" ht="20" customHeight="1" spans="1:13">
      <c r="A15" s="13"/>
      <c r="B15" s="17" t="s">
        <v>11</v>
      </c>
      <c r="C15" s="15" t="b">
        <v>0</v>
      </c>
      <c r="D15" s="6"/>
      <c r="E15" s="21" t="s">
        <v>12</v>
      </c>
      <c r="F15" s="21">
        <f>COUNTIF(C8:C33,TRUE)</f>
        <v>8</v>
      </c>
      <c r="G15" s="18"/>
      <c r="H15" s="6"/>
      <c r="I15" s="6"/>
      <c r="J15" s="6"/>
      <c r="K15" s="6"/>
      <c r="L15" s="6"/>
      <c r="M15" s="6"/>
    </row>
    <row r="16" ht="20" customHeight="1" spans="1:13">
      <c r="A16" s="13"/>
      <c r="B16" s="20" t="s">
        <v>13</v>
      </c>
      <c r="C16" s="15" t="b">
        <v>1</v>
      </c>
      <c r="D16" s="6"/>
      <c r="E16" s="21" t="s">
        <v>14</v>
      </c>
      <c r="F16" s="21">
        <f>F14-F15</f>
        <v>18</v>
      </c>
      <c r="G16" s="18"/>
      <c r="H16" s="6"/>
      <c r="I16" s="6"/>
      <c r="J16" s="6"/>
      <c r="K16" s="6"/>
      <c r="L16" s="6"/>
      <c r="M16" s="6"/>
    </row>
    <row r="17" ht="20" customHeight="1" spans="1:13">
      <c r="A17" s="13"/>
      <c r="B17" s="20" t="s">
        <v>15</v>
      </c>
      <c r="C17" s="15" t="b">
        <v>0</v>
      </c>
      <c r="D17" s="6"/>
      <c r="E17" s="21" t="s">
        <v>16</v>
      </c>
      <c r="F17" s="22">
        <f>F15/F14</f>
        <v>0.307692307692308</v>
      </c>
      <c r="G17" s="18"/>
      <c r="H17" s="6"/>
      <c r="I17" s="6"/>
      <c r="J17" s="6"/>
      <c r="K17" s="6"/>
      <c r="L17" s="6"/>
      <c r="M17" s="6"/>
    </row>
    <row r="18" ht="20" customHeight="1" spans="1:13">
      <c r="A18" s="13"/>
      <c r="B18" s="20" t="s">
        <v>17</v>
      </c>
      <c r="C18" s="15" t="b">
        <v>0</v>
      </c>
      <c r="D18" s="6"/>
      <c r="E18" s="6"/>
      <c r="F18" s="6"/>
      <c r="G18" s="18"/>
      <c r="H18" s="6"/>
      <c r="I18" s="6"/>
      <c r="J18" s="6"/>
      <c r="K18" s="6"/>
      <c r="L18" s="6"/>
      <c r="M18" s="6"/>
    </row>
    <row r="19" ht="20" customHeight="1" spans="1:13">
      <c r="A19" s="13"/>
      <c r="B19" s="20" t="s">
        <v>18</v>
      </c>
      <c r="C19" s="15" t="b">
        <v>0</v>
      </c>
      <c r="D19" s="6"/>
      <c r="E19" s="6"/>
      <c r="F19" s="6"/>
      <c r="G19" s="18"/>
      <c r="H19" s="6"/>
      <c r="I19" s="6"/>
      <c r="J19" s="6"/>
      <c r="K19" s="6"/>
      <c r="L19" s="6"/>
      <c r="M19" s="6"/>
    </row>
    <row r="20" ht="20" customHeight="1" spans="1:13">
      <c r="A20" s="13"/>
      <c r="B20" s="20" t="s">
        <v>19</v>
      </c>
      <c r="C20" s="15" t="b">
        <v>0</v>
      </c>
      <c r="D20" s="6"/>
      <c r="E20" s="6"/>
      <c r="F20" s="6"/>
      <c r="G20" s="18"/>
      <c r="H20" s="6"/>
      <c r="I20" s="6"/>
      <c r="J20" s="6"/>
      <c r="K20" s="6"/>
      <c r="L20" s="6"/>
      <c r="M20" s="6"/>
    </row>
    <row r="21" ht="20" customHeight="1" spans="1:13">
      <c r="A21" s="13"/>
      <c r="B21" s="20" t="s">
        <v>20</v>
      </c>
      <c r="C21" s="15" t="b">
        <v>0</v>
      </c>
      <c r="D21" s="6"/>
      <c r="E21" s="6"/>
      <c r="F21" s="6"/>
      <c r="G21" s="18"/>
      <c r="H21" s="6"/>
      <c r="I21" s="6"/>
      <c r="J21" s="6"/>
      <c r="K21" s="6"/>
      <c r="L21" s="6"/>
      <c r="M21" s="6"/>
    </row>
    <row r="22" ht="20" customHeight="1" spans="1:13">
      <c r="A22" s="13"/>
      <c r="B22" s="20" t="s">
        <v>21</v>
      </c>
      <c r="C22" s="15" t="b">
        <v>0</v>
      </c>
      <c r="D22" s="6"/>
      <c r="E22" s="6"/>
      <c r="F22" s="6"/>
      <c r="G22" s="18"/>
      <c r="H22" s="6"/>
      <c r="I22" s="6"/>
      <c r="J22" s="6"/>
      <c r="K22" s="6"/>
      <c r="L22" s="6"/>
      <c r="M22" s="6"/>
    </row>
    <row r="23" ht="20" customHeight="1" spans="1:13">
      <c r="A23" s="13"/>
      <c r="B23" s="20" t="s">
        <v>22</v>
      </c>
      <c r="C23" s="15" t="b">
        <v>1</v>
      </c>
      <c r="D23" s="6"/>
      <c r="E23" s="6"/>
      <c r="F23" s="6"/>
      <c r="G23" s="18"/>
      <c r="H23" s="6"/>
      <c r="I23" s="6"/>
      <c r="J23" s="6"/>
      <c r="K23" s="6"/>
      <c r="L23" s="6"/>
      <c r="M23" s="6"/>
    </row>
    <row r="24" ht="20" customHeight="1" spans="1:13">
      <c r="A24" s="13"/>
      <c r="B24" s="17" t="s">
        <v>23</v>
      </c>
      <c r="C24" s="15" t="b">
        <v>1</v>
      </c>
      <c r="D24" s="6"/>
      <c r="E24" s="6"/>
      <c r="F24" s="6"/>
      <c r="G24" s="18"/>
      <c r="H24" s="6"/>
      <c r="I24" s="6"/>
      <c r="J24" s="6"/>
      <c r="K24" s="6"/>
      <c r="L24" s="6"/>
      <c r="M24" s="6"/>
    </row>
    <row r="25" ht="20" customHeight="1" spans="1:13">
      <c r="A25" s="13"/>
      <c r="B25" s="20" t="s">
        <v>24</v>
      </c>
      <c r="C25" s="15" t="b">
        <v>0</v>
      </c>
      <c r="D25" s="6"/>
      <c r="E25" s="6"/>
      <c r="F25" s="6"/>
      <c r="G25" s="18"/>
      <c r="H25" s="6"/>
      <c r="I25" s="6"/>
      <c r="J25" s="6"/>
      <c r="K25" s="6"/>
      <c r="L25" s="6"/>
      <c r="M25" s="6"/>
    </row>
    <row r="26" ht="20" customHeight="1" spans="1:13">
      <c r="A26" s="13"/>
      <c r="B26" s="20" t="s">
        <v>25</v>
      </c>
      <c r="C26" s="15" t="b">
        <v>0</v>
      </c>
      <c r="D26" s="6"/>
      <c r="E26" s="6"/>
      <c r="F26" s="6"/>
      <c r="G26" s="18"/>
      <c r="H26" s="6"/>
      <c r="I26" s="6"/>
      <c r="J26" s="6"/>
      <c r="K26" s="6"/>
      <c r="L26" s="6"/>
      <c r="M26" s="6"/>
    </row>
    <row r="27" ht="20" customHeight="1" spans="1:13">
      <c r="A27" s="13"/>
      <c r="B27" s="20" t="s">
        <v>26</v>
      </c>
      <c r="C27" s="15" t="b">
        <v>0</v>
      </c>
      <c r="D27" s="6"/>
      <c r="E27" s="6"/>
      <c r="F27" s="6"/>
      <c r="G27" s="18"/>
      <c r="H27" s="6"/>
      <c r="I27" s="6"/>
      <c r="J27" s="6"/>
      <c r="K27" s="6"/>
      <c r="L27" s="6"/>
      <c r="M27" s="6"/>
    </row>
    <row r="28" ht="20" customHeight="1" spans="1:13">
      <c r="A28" s="13"/>
      <c r="B28" s="20" t="s">
        <v>27</v>
      </c>
      <c r="C28" s="15" t="b">
        <v>1</v>
      </c>
      <c r="D28" s="6"/>
      <c r="E28" s="6"/>
      <c r="F28" s="6"/>
      <c r="G28" s="18"/>
      <c r="H28" s="6"/>
      <c r="I28" s="6"/>
      <c r="J28" s="6"/>
      <c r="K28" s="6"/>
      <c r="L28" s="6"/>
      <c r="M28" s="6"/>
    </row>
    <row r="29" ht="20" customHeight="1" spans="1:13">
      <c r="A29" s="13"/>
      <c r="B29" s="17" t="s">
        <v>28</v>
      </c>
      <c r="C29" s="15" t="b">
        <v>1</v>
      </c>
      <c r="D29" s="6"/>
      <c r="E29" s="6"/>
      <c r="F29" s="6"/>
      <c r="G29" s="18"/>
      <c r="H29" s="6"/>
      <c r="I29" s="6"/>
      <c r="J29" s="6"/>
      <c r="K29" s="6"/>
      <c r="L29" s="6"/>
      <c r="M29" s="6"/>
    </row>
    <row r="30" ht="20" customHeight="1" spans="1:13">
      <c r="A30" s="13"/>
      <c r="B30" s="20" t="s">
        <v>29</v>
      </c>
      <c r="C30" s="15" t="b">
        <v>0</v>
      </c>
      <c r="D30" s="6"/>
      <c r="E30" s="6"/>
      <c r="F30" s="6"/>
      <c r="G30" s="18"/>
      <c r="H30" s="6"/>
      <c r="I30" s="6"/>
      <c r="J30" s="6"/>
      <c r="K30" s="6"/>
      <c r="L30" s="6"/>
      <c r="M30" s="6"/>
    </row>
    <row r="31" ht="20" customHeight="1" spans="1:13">
      <c r="A31" s="13"/>
      <c r="B31" s="20" t="s">
        <v>30</v>
      </c>
      <c r="C31" s="15" t="b">
        <v>0</v>
      </c>
      <c r="D31" s="6"/>
      <c r="E31" s="6"/>
      <c r="F31" s="6"/>
      <c r="G31" s="18"/>
      <c r="H31" s="6"/>
      <c r="I31" s="6"/>
      <c r="J31" s="6"/>
      <c r="K31" s="6"/>
      <c r="L31" s="6"/>
      <c r="M31" s="6"/>
    </row>
    <row r="32" ht="20" customHeight="1" spans="1:13">
      <c r="A32" s="13"/>
      <c r="B32" s="20" t="s">
        <v>31</v>
      </c>
      <c r="C32" s="15" t="b">
        <v>0</v>
      </c>
      <c r="D32" s="6"/>
      <c r="E32" s="6"/>
      <c r="F32" s="6"/>
      <c r="G32" s="18"/>
      <c r="H32" s="6"/>
      <c r="I32" s="6"/>
      <c r="J32" s="6"/>
      <c r="K32" s="6"/>
      <c r="L32" s="6"/>
      <c r="M32" s="6"/>
    </row>
    <row r="33" ht="20" customHeight="1" spans="1:13">
      <c r="A33" s="13"/>
      <c r="B33" s="23" t="s">
        <v>32</v>
      </c>
      <c r="C33" s="24" t="b">
        <v>0</v>
      </c>
      <c r="D33" s="12"/>
      <c r="E33" s="12"/>
      <c r="F33" s="12"/>
      <c r="G33" s="25"/>
      <c r="H33" s="6"/>
      <c r="I33" s="6"/>
      <c r="J33" s="6"/>
      <c r="K33" s="6"/>
      <c r="L33" s="6"/>
      <c r="M33" s="6"/>
    </row>
    <row r="34" ht="20" customHeight="1" spans="1:13">
      <c r="A34" s="13"/>
      <c r="B34" s="14" t="s">
        <v>33</v>
      </c>
      <c r="C34" s="15" t="b">
        <v>0</v>
      </c>
      <c r="D34" s="6"/>
      <c r="E34" s="6"/>
      <c r="F34" s="6"/>
      <c r="G34" s="18"/>
      <c r="H34" s="6"/>
      <c r="I34" s="6"/>
      <c r="J34" s="6"/>
      <c r="K34" s="6"/>
      <c r="L34" s="6"/>
      <c r="M34" s="6"/>
    </row>
    <row r="35" ht="39" customHeight="1" spans="1:13">
      <c r="A35" s="13"/>
      <c r="B35" s="26" t="s">
        <v>34</v>
      </c>
      <c r="C35" s="15" t="b">
        <v>0</v>
      </c>
      <c r="D35" s="6"/>
      <c r="E35" s="6"/>
      <c r="F35" s="6"/>
      <c r="G35" s="18"/>
      <c r="H35" s="6"/>
      <c r="I35" s="6"/>
      <c r="J35" s="6"/>
      <c r="K35" s="6"/>
      <c r="L35" s="6"/>
      <c r="M35" s="6"/>
    </row>
    <row r="36" ht="20" customHeight="1" spans="1:13">
      <c r="A36" s="13"/>
      <c r="B36" s="17" t="s">
        <v>35</v>
      </c>
      <c r="C36" s="15" t="b">
        <v>0</v>
      </c>
      <c r="D36" s="6"/>
      <c r="E36" s="21" t="s">
        <v>10</v>
      </c>
      <c r="F36" s="21">
        <v>26</v>
      </c>
      <c r="G36" s="18"/>
      <c r="H36" s="6"/>
      <c r="I36" s="6"/>
      <c r="J36" s="6"/>
      <c r="K36" s="6"/>
      <c r="L36" s="6"/>
      <c r="M36" s="6"/>
    </row>
    <row r="37" ht="20" customHeight="1" spans="1:13">
      <c r="A37" s="13"/>
      <c r="B37" s="20" t="s">
        <v>36</v>
      </c>
      <c r="C37" s="15" t="b">
        <v>1</v>
      </c>
      <c r="D37" s="6"/>
      <c r="E37" s="21" t="s">
        <v>12</v>
      </c>
      <c r="F37" s="21">
        <f>COUNTIF(C34:C59,TRUE)</f>
        <v>3</v>
      </c>
      <c r="G37" s="18"/>
      <c r="H37" s="6"/>
      <c r="I37" s="6"/>
      <c r="J37" s="6"/>
      <c r="K37" s="6"/>
      <c r="L37" s="6"/>
      <c r="M37" s="6"/>
    </row>
    <row r="38" ht="20" customHeight="1" spans="1:13">
      <c r="A38" s="13"/>
      <c r="B38" s="20" t="s">
        <v>37</v>
      </c>
      <c r="C38" s="15" t="b">
        <v>0</v>
      </c>
      <c r="D38" s="6"/>
      <c r="E38" s="21" t="s">
        <v>14</v>
      </c>
      <c r="F38" s="21">
        <f>F36-F37</f>
        <v>23</v>
      </c>
      <c r="G38" s="18"/>
      <c r="H38" s="6"/>
      <c r="I38" s="6"/>
      <c r="J38" s="6"/>
      <c r="K38" s="6"/>
      <c r="L38" s="6"/>
      <c r="M38" s="6"/>
    </row>
    <row r="39" ht="20" customHeight="1" spans="1:13">
      <c r="A39" s="13"/>
      <c r="B39" s="20" t="s">
        <v>38</v>
      </c>
      <c r="C39" s="15" t="b">
        <v>0</v>
      </c>
      <c r="D39" s="6"/>
      <c r="E39" s="21" t="s">
        <v>16</v>
      </c>
      <c r="F39" s="22">
        <f>F37/F36</f>
        <v>0.115384615384615</v>
      </c>
      <c r="G39" s="18"/>
      <c r="H39" s="6"/>
      <c r="I39" s="6"/>
      <c r="J39" s="6"/>
      <c r="K39" s="6"/>
      <c r="L39" s="6"/>
      <c r="M39" s="6"/>
    </row>
    <row r="40" ht="20" customHeight="1" spans="1:13">
      <c r="A40" s="13"/>
      <c r="B40" s="17" t="s">
        <v>39</v>
      </c>
      <c r="C40" s="15" t="b">
        <v>1</v>
      </c>
      <c r="D40" s="6"/>
      <c r="E40" s="6"/>
      <c r="F40" s="6"/>
      <c r="G40" s="18"/>
      <c r="H40" s="6"/>
      <c r="I40" s="6"/>
      <c r="J40" s="6"/>
      <c r="K40" s="6"/>
      <c r="L40" s="6"/>
      <c r="M40" s="6"/>
    </row>
    <row r="41" ht="20" customHeight="1" spans="1:13">
      <c r="A41" s="13"/>
      <c r="B41" s="20" t="s">
        <v>40</v>
      </c>
      <c r="C41" s="15" t="b">
        <v>0</v>
      </c>
      <c r="D41" s="6"/>
      <c r="E41" s="6"/>
      <c r="F41" s="6"/>
      <c r="G41" s="18"/>
      <c r="H41" s="6"/>
      <c r="I41" s="6"/>
      <c r="J41" s="6"/>
      <c r="K41" s="6"/>
      <c r="L41" s="6"/>
      <c r="M41" s="6"/>
    </row>
    <row r="42" ht="20" customHeight="1" spans="1:13">
      <c r="A42" s="13"/>
      <c r="B42" s="20" t="s">
        <v>41</v>
      </c>
      <c r="C42" s="15" t="b">
        <v>0</v>
      </c>
      <c r="D42" s="6"/>
      <c r="E42" s="6"/>
      <c r="F42" s="6"/>
      <c r="G42" s="18"/>
      <c r="H42" s="6"/>
      <c r="I42" s="6"/>
      <c r="J42" s="6"/>
      <c r="K42" s="6"/>
      <c r="L42" s="6"/>
      <c r="M42" s="6"/>
    </row>
    <row r="43" ht="20" customHeight="1" spans="1:13">
      <c r="A43" s="13"/>
      <c r="B43" s="17" t="s">
        <v>42</v>
      </c>
      <c r="C43" s="15" t="b">
        <v>1</v>
      </c>
      <c r="D43" s="6"/>
      <c r="E43" s="6"/>
      <c r="F43" s="6"/>
      <c r="G43" s="18"/>
      <c r="H43" s="6"/>
      <c r="I43" s="6"/>
      <c r="J43" s="6"/>
      <c r="K43" s="6"/>
      <c r="L43" s="6"/>
      <c r="M43" s="6"/>
    </row>
    <row r="44" ht="20" customHeight="1" spans="1:13">
      <c r="A44" s="13"/>
      <c r="B44" s="17" t="s">
        <v>43</v>
      </c>
      <c r="C44" s="15" t="b">
        <v>0</v>
      </c>
      <c r="D44" s="6"/>
      <c r="E44" s="6"/>
      <c r="F44" s="6"/>
      <c r="G44" s="18"/>
      <c r="H44" s="6"/>
      <c r="I44" s="6"/>
      <c r="J44" s="6"/>
      <c r="K44" s="6"/>
      <c r="L44" s="6"/>
      <c r="M44" s="6"/>
    </row>
    <row r="45" ht="20" customHeight="1" spans="1:13">
      <c r="A45" s="13"/>
      <c r="B45" s="20" t="s">
        <v>44</v>
      </c>
      <c r="C45" s="15" t="b">
        <v>0</v>
      </c>
      <c r="D45" s="6"/>
      <c r="E45" s="6"/>
      <c r="F45" s="6"/>
      <c r="G45" s="18"/>
      <c r="H45" s="6"/>
      <c r="I45" s="6"/>
      <c r="J45" s="6"/>
      <c r="K45" s="6"/>
      <c r="L45" s="6"/>
      <c r="M45" s="6"/>
    </row>
    <row r="46" ht="20" customHeight="1" spans="1:13">
      <c r="A46" s="13"/>
      <c r="B46" s="20" t="s">
        <v>45</v>
      </c>
      <c r="C46" s="15" t="b">
        <v>0</v>
      </c>
      <c r="D46" s="6"/>
      <c r="E46" s="6"/>
      <c r="F46" s="6"/>
      <c r="G46" s="18"/>
      <c r="H46" s="6"/>
      <c r="I46" s="6"/>
      <c r="J46" s="6"/>
      <c r="K46" s="6"/>
      <c r="L46" s="6"/>
      <c r="M46" s="6"/>
    </row>
    <row r="47" ht="20" customHeight="1" spans="1:13">
      <c r="A47" s="13"/>
      <c r="B47" s="17" t="s">
        <v>46</v>
      </c>
      <c r="C47" s="15" t="b">
        <v>0</v>
      </c>
      <c r="D47" s="6"/>
      <c r="E47" s="6"/>
      <c r="F47" s="6"/>
      <c r="G47" s="18"/>
      <c r="H47" s="6"/>
      <c r="I47" s="6"/>
      <c r="J47" s="6"/>
      <c r="K47" s="6"/>
      <c r="L47" s="6"/>
      <c r="M47" s="6"/>
    </row>
    <row r="48" ht="20" customHeight="1" spans="1:13">
      <c r="A48" s="13"/>
      <c r="B48" s="17" t="s">
        <v>47</v>
      </c>
      <c r="C48" s="15" t="b">
        <v>0</v>
      </c>
      <c r="D48" s="6"/>
      <c r="E48" s="6"/>
      <c r="F48" s="6"/>
      <c r="G48" s="18"/>
      <c r="H48" s="6"/>
      <c r="I48" s="6"/>
      <c r="J48" s="6"/>
      <c r="K48" s="6"/>
      <c r="L48" s="6"/>
      <c r="M48" s="6"/>
    </row>
    <row r="49" ht="39" customHeight="1" spans="1:13">
      <c r="A49" s="13"/>
      <c r="B49" s="19" t="s">
        <v>48</v>
      </c>
      <c r="C49" s="15" t="b">
        <v>0</v>
      </c>
      <c r="D49" s="6"/>
      <c r="E49" s="6"/>
      <c r="F49" s="6"/>
      <c r="G49" s="18"/>
      <c r="H49" s="6"/>
      <c r="I49" s="6"/>
      <c r="J49" s="6"/>
      <c r="K49" s="6"/>
      <c r="L49" s="6"/>
      <c r="M49" s="6"/>
    </row>
    <row r="50" ht="20" customHeight="1" spans="1:13">
      <c r="A50" s="13"/>
      <c r="B50" s="20" t="s">
        <v>49</v>
      </c>
      <c r="C50" s="15" t="b">
        <v>0</v>
      </c>
      <c r="D50" s="6"/>
      <c r="E50" s="6"/>
      <c r="F50" s="6"/>
      <c r="G50" s="18"/>
      <c r="H50" s="6"/>
      <c r="I50" s="6"/>
      <c r="J50" s="6"/>
      <c r="K50" s="6"/>
      <c r="L50" s="6"/>
      <c r="M50" s="6"/>
    </row>
    <row r="51" ht="20" customHeight="1" spans="1:13">
      <c r="A51" s="13"/>
      <c r="B51" s="17" t="s">
        <v>50</v>
      </c>
      <c r="C51" s="15" t="b">
        <v>0</v>
      </c>
      <c r="D51" s="6"/>
      <c r="E51" s="6"/>
      <c r="F51" s="6"/>
      <c r="G51" s="18"/>
      <c r="H51" s="6"/>
      <c r="I51" s="6"/>
      <c r="J51" s="6"/>
      <c r="K51" s="6"/>
      <c r="L51" s="6"/>
      <c r="M51" s="6"/>
    </row>
    <row r="52" ht="38" customHeight="1" spans="1:13">
      <c r="A52" s="13"/>
      <c r="B52" s="26" t="s">
        <v>51</v>
      </c>
      <c r="C52" s="15" t="b">
        <v>0</v>
      </c>
      <c r="D52" s="6"/>
      <c r="E52" s="6"/>
      <c r="F52" s="6"/>
      <c r="G52" s="18"/>
      <c r="H52" s="6"/>
      <c r="I52" s="6"/>
      <c r="J52" s="6"/>
      <c r="K52" s="6"/>
      <c r="L52" s="6"/>
      <c r="M52" s="6"/>
    </row>
    <row r="53" ht="20" customHeight="1" spans="1:13">
      <c r="A53" s="13"/>
      <c r="B53" s="20" t="s">
        <v>52</v>
      </c>
      <c r="C53" s="15" t="b">
        <v>0</v>
      </c>
      <c r="D53" s="6"/>
      <c r="E53" s="6"/>
      <c r="F53" s="6"/>
      <c r="G53" s="18"/>
      <c r="H53" s="6"/>
      <c r="I53" s="6"/>
      <c r="J53" s="6"/>
      <c r="K53" s="6"/>
      <c r="L53" s="6"/>
      <c r="M53" s="6"/>
    </row>
    <row r="54" ht="20" customHeight="1" spans="1:13">
      <c r="A54" s="13"/>
      <c r="B54" s="20" t="s">
        <v>53</v>
      </c>
      <c r="C54" s="15" t="b">
        <v>0</v>
      </c>
      <c r="D54" s="6"/>
      <c r="E54" s="6"/>
      <c r="F54" s="6"/>
      <c r="G54" s="18"/>
      <c r="H54" s="6"/>
      <c r="I54" s="6"/>
      <c r="J54" s="6"/>
      <c r="K54" s="6"/>
      <c r="L54" s="6"/>
      <c r="M54" s="6"/>
    </row>
    <row r="55" ht="20" customHeight="1" spans="1:13">
      <c r="A55" s="13"/>
      <c r="B55" s="20" t="s">
        <v>54</v>
      </c>
      <c r="C55" s="15" t="b">
        <v>0</v>
      </c>
      <c r="D55" s="6"/>
      <c r="E55" s="6"/>
      <c r="F55" s="6"/>
      <c r="G55" s="18"/>
      <c r="H55" s="6"/>
      <c r="I55" s="6"/>
      <c r="J55" s="6"/>
      <c r="K55" s="6"/>
      <c r="L55" s="6"/>
      <c r="M55" s="6"/>
    </row>
    <row r="56" ht="20" customHeight="1" spans="1:13">
      <c r="A56" s="13"/>
      <c r="B56" s="17" t="s">
        <v>55</v>
      </c>
      <c r="C56" s="15" t="b">
        <v>0</v>
      </c>
      <c r="D56" s="6"/>
      <c r="E56" s="6"/>
      <c r="F56" s="6"/>
      <c r="G56" s="18"/>
      <c r="H56" s="6"/>
      <c r="I56" s="6"/>
      <c r="J56" s="6"/>
      <c r="K56" s="6"/>
      <c r="L56" s="6"/>
      <c r="M56" s="6"/>
    </row>
    <row r="57" ht="20" customHeight="1" spans="1:13">
      <c r="A57" s="13"/>
      <c r="B57" s="20" t="s">
        <v>56</v>
      </c>
      <c r="C57" s="15" t="b">
        <v>0</v>
      </c>
      <c r="D57" s="6"/>
      <c r="E57" s="6"/>
      <c r="F57" s="6"/>
      <c r="G57" s="18"/>
      <c r="H57" s="6"/>
      <c r="I57" s="6"/>
      <c r="J57" s="6"/>
      <c r="K57" s="6"/>
      <c r="L57" s="6"/>
      <c r="M57" s="6"/>
    </row>
    <row r="58" ht="20" customHeight="1" spans="1:13">
      <c r="A58" s="13"/>
      <c r="B58" s="20" t="s">
        <v>57</v>
      </c>
      <c r="C58" s="15" t="b">
        <v>0</v>
      </c>
      <c r="D58" s="6"/>
      <c r="E58" s="6"/>
      <c r="F58" s="6"/>
      <c r="G58" s="18"/>
      <c r="H58" s="6"/>
      <c r="I58" s="6"/>
      <c r="J58" s="6"/>
      <c r="K58" s="6"/>
      <c r="L58" s="6"/>
      <c r="M58" s="6"/>
    </row>
    <row r="59" ht="20" customHeight="1" spans="1:13">
      <c r="A59" s="13"/>
      <c r="B59" s="23" t="s">
        <v>58</v>
      </c>
      <c r="C59" s="24" t="b">
        <v>0</v>
      </c>
      <c r="D59" s="12"/>
      <c r="E59" s="12"/>
      <c r="F59" s="12"/>
      <c r="G59" s="25"/>
      <c r="H59" s="6"/>
      <c r="I59" s="6"/>
      <c r="J59" s="6"/>
      <c r="K59" s="6"/>
      <c r="L59" s="6"/>
      <c r="M59" s="6"/>
    </row>
    <row r="60" ht="20" customHeight="1" spans="1:13">
      <c r="A60" s="13"/>
      <c r="B60" s="14" t="s">
        <v>59</v>
      </c>
      <c r="C60" s="15" t="b">
        <v>0</v>
      </c>
      <c r="D60" s="6"/>
      <c r="E60" s="6"/>
      <c r="F60" s="6"/>
      <c r="G60" s="18"/>
      <c r="H60" s="6"/>
      <c r="I60" s="6"/>
      <c r="J60" s="6"/>
      <c r="K60" s="6"/>
      <c r="L60" s="6"/>
      <c r="M60" s="6"/>
    </row>
    <row r="61" ht="20" customHeight="1" spans="1:13">
      <c r="A61" s="13"/>
      <c r="B61" s="17" t="s">
        <v>60</v>
      </c>
      <c r="C61" s="15" t="b">
        <v>0</v>
      </c>
      <c r="D61" s="6"/>
      <c r="E61" s="6"/>
      <c r="F61" s="6"/>
      <c r="G61" s="18"/>
      <c r="H61" s="6"/>
      <c r="I61" s="6"/>
      <c r="J61" s="6"/>
      <c r="K61" s="6"/>
      <c r="L61" s="6"/>
      <c r="M61" s="6"/>
    </row>
    <row r="62" ht="43" customHeight="1" spans="1:13">
      <c r="A62" s="13"/>
      <c r="B62" s="26" t="s">
        <v>61</v>
      </c>
      <c r="C62" s="15" t="b">
        <v>0</v>
      </c>
      <c r="D62" s="6"/>
      <c r="E62" s="21" t="s">
        <v>10</v>
      </c>
      <c r="F62" s="21">
        <v>14</v>
      </c>
      <c r="G62" s="18"/>
      <c r="H62" s="6"/>
      <c r="I62" s="6"/>
      <c r="J62" s="6"/>
      <c r="K62" s="6"/>
      <c r="L62" s="6"/>
      <c r="M62" s="6"/>
    </row>
    <row r="63" ht="55" customHeight="1" spans="1:13">
      <c r="A63" s="13"/>
      <c r="B63" s="19" t="s">
        <v>62</v>
      </c>
      <c r="C63" s="15" t="b">
        <v>1</v>
      </c>
      <c r="D63" s="6"/>
      <c r="E63" s="21" t="s">
        <v>12</v>
      </c>
      <c r="F63" s="21">
        <f>COUNTIF(C60:C73,TRUE)</f>
        <v>3</v>
      </c>
      <c r="G63" s="18"/>
      <c r="H63" s="6"/>
      <c r="I63" s="6"/>
      <c r="J63" s="6"/>
      <c r="K63" s="6"/>
      <c r="L63" s="6"/>
      <c r="M63" s="6"/>
    </row>
    <row r="64" ht="20" customHeight="1" spans="1:13">
      <c r="A64" s="13"/>
      <c r="B64" s="20" t="s">
        <v>63</v>
      </c>
      <c r="C64" s="15" t="b">
        <v>0</v>
      </c>
      <c r="D64" s="6"/>
      <c r="E64" s="21" t="s">
        <v>14</v>
      </c>
      <c r="F64" s="21">
        <f>F62-F63</f>
        <v>11</v>
      </c>
      <c r="G64" s="18"/>
      <c r="H64" s="6"/>
      <c r="I64" s="6"/>
      <c r="J64" s="6"/>
      <c r="K64" s="6"/>
      <c r="L64" s="6"/>
      <c r="M64" s="6"/>
    </row>
    <row r="65" ht="40" customHeight="1" spans="1:13">
      <c r="A65" s="13"/>
      <c r="B65" s="19" t="s">
        <v>64</v>
      </c>
      <c r="C65" s="15" t="b">
        <v>0</v>
      </c>
      <c r="D65" s="6"/>
      <c r="E65" s="21" t="s">
        <v>16</v>
      </c>
      <c r="F65" s="22">
        <f>F63/F62</f>
        <v>0.214285714285714</v>
      </c>
      <c r="G65" s="18"/>
      <c r="H65" s="6"/>
      <c r="I65" s="6"/>
      <c r="J65" s="6"/>
      <c r="K65" s="6"/>
      <c r="L65" s="6"/>
      <c r="M65" s="6"/>
    </row>
    <row r="66" ht="20" customHeight="1" spans="1:13">
      <c r="A66" s="13"/>
      <c r="B66" s="17" t="s">
        <v>65</v>
      </c>
      <c r="C66" s="15" t="b">
        <v>1</v>
      </c>
      <c r="D66" s="6"/>
      <c r="E66" s="6"/>
      <c r="F66" s="6"/>
      <c r="G66" s="18"/>
      <c r="H66" s="6"/>
      <c r="I66" s="6"/>
      <c r="J66" s="6"/>
      <c r="K66" s="6"/>
      <c r="L66" s="6"/>
      <c r="M66" s="6"/>
    </row>
    <row r="67" ht="20" customHeight="1" spans="1:13">
      <c r="A67" s="13"/>
      <c r="B67" s="20" t="s">
        <v>66</v>
      </c>
      <c r="C67" s="15" t="b">
        <v>0</v>
      </c>
      <c r="D67" s="6"/>
      <c r="E67" s="6"/>
      <c r="F67" s="6"/>
      <c r="G67" s="18"/>
      <c r="H67" s="6"/>
      <c r="I67" s="6"/>
      <c r="J67" s="6"/>
      <c r="K67" s="6"/>
      <c r="L67" s="6"/>
      <c r="M67" s="6"/>
    </row>
    <row r="68" ht="20" customHeight="1" spans="1:13">
      <c r="A68" s="13"/>
      <c r="B68" s="20" t="s">
        <v>67</v>
      </c>
      <c r="C68" s="15" t="b">
        <v>0</v>
      </c>
      <c r="D68" s="6"/>
      <c r="E68" s="6"/>
      <c r="F68" s="6"/>
      <c r="G68" s="18"/>
      <c r="H68" s="6"/>
      <c r="I68" s="6"/>
      <c r="J68" s="6"/>
      <c r="K68" s="6"/>
      <c r="L68" s="6"/>
      <c r="M68" s="6"/>
    </row>
    <row r="69" ht="20" customHeight="1" spans="1:13">
      <c r="A69" s="13"/>
      <c r="B69" s="20" t="s">
        <v>68</v>
      </c>
      <c r="C69" s="15" t="b">
        <v>0</v>
      </c>
      <c r="D69" s="6"/>
      <c r="E69" s="6"/>
      <c r="F69" s="6"/>
      <c r="G69" s="18"/>
      <c r="H69" s="6"/>
      <c r="I69" s="6"/>
      <c r="J69" s="6"/>
      <c r="K69" s="6"/>
      <c r="L69" s="6"/>
      <c r="M69" s="6"/>
    </row>
    <row r="70" ht="20" customHeight="1" spans="1:13">
      <c r="A70" s="13"/>
      <c r="B70" s="17" t="s">
        <v>69</v>
      </c>
      <c r="C70" s="15" t="b">
        <v>1</v>
      </c>
      <c r="D70" s="6"/>
      <c r="E70" s="6"/>
      <c r="F70" s="6"/>
      <c r="G70" s="18"/>
      <c r="H70" s="6"/>
      <c r="I70" s="6"/>
      <c r="J70" s="6"/>
      <c r="K70" s="6"/>
      <c r="L70" s="6"/>
      <c r="M70" s="6"/>
    </row>
    <row r="71" ht="20" customHeight="1" spans="1:13">
      <c r="A71" s="13"/>
      <c r="B71" s="20" t="s">
        <v>70</v>
      </c>
      <c r="C71" s="15" t="b">
        <v>0</v>
      </c>
      <c r="D71" s="6"/>
      <c r="E71" s="6"/>
      <c r="F71" s="6"/>
      <c r="G71" s="18"/>
      <c r="H71" s="6"/>
      <c r="I71" s="6"/>
      <c r="J71" s="6"/>
      <c r="K71" s="6"/>
      <c r="L71" s="6"/>
      <c r="M71" s="6"/>
    </row>
    <row r="72" ht="20" customHeight="1" spans="1:13">
      <c r="A72" s="13"/>
      <c r="B72" s="20" t="s">
        <v>71</v>
      </c>
      <c r="C72" s="15" t="b">
        <v>0</v>
      </c>
      <c r="D72" s="6"/>
      <c r="E72" s="6"/>
      <c r="F72" s="6"/>
      <c r="G72" s="18"/>
      <c r="H72" s="6"/>
      <c r="I72" s="6"/>
      <c r="J72" s="6"/>
      <c r="K72" s="6"/>
      <c r="L72" s="6"/>
      <c r="M72" s="6"/>
    </row>
    <row r="73" ht="20" customHeight="1" spans="1:13">
      <c r="A73" s="13"/>
      <c r="B73" s="27" t="s">
        <v>72</v>
      </c>
      <c r="C73" s="24" t="b">
        <v>0</v>
      </c>
      <c r="D73" s="12"/>
      <c r="E73" s="12"/>
      <c r="F73" s="12"/>
      <c r="G73" s="25"/>
      <c r="H73" s="6"/>
      <c r="I73" s="6"/>
      <c r="J73" s="6"/>
      <c r="K73" s="6"/>
      <c r="L73" s="6"/>
      <c r="M73" s="6"/>
    </row>
    <row r="74" ht="20" customHeight="1" spans="1:13">
      <c r="A74" s="13"/>
      <c r="B74" s="14" t="s">
        <v>73</v>
      </c>
      <c r="C74" s="15" t="b">
        <v>0</v>
      </c>
      <c r="D74" s="6"/>
      <c r="E74" s="6"/>
      <c r="F74" s="6"/>
      <c r="G74" s="18"/>
      <c r="H74" s="6"/>
      <c r="I74" s="6"/>
      <c r="J74" s="6"/>
      <c r="K74" s="6"/>
      <c r="L74" s="6"/>
      <c r="M74" s="6"/>
    </row>
    <row r="75" ht="20" customHeight="1" spans="1:13">
      <c r="A75" s="13"/>
      <c r="B75" s="17" t="s">
        <v>74</v>
      </c>
      <c r="C75" s="15" t="b">
        <v>1</v>
      </c>
      <c r="D75" s="6"/>
      <c r="E75" s="21" t="s">
        <v>10</v>
      </c>
      <c r="F75" s="21">
        <v>10</v>
      </c>
      <c r="G75" s="18"/>
      <c r="H75" s="6"/>
      <c r="I75" s="6"/>
      <c r="J75" s="6"/>
      <c r="K75" s="6"/>
      <c r="L75" s="6"/>
      <c r="M75" s="6"/>
    </row>
    <row r="76" ht="20" customHeight="1" spans="1:13">
      <c r="A76" s="13"/>
      <c r="B76" s="17" t="s">
        <v>75</v>
      </c>
      <c r="C76" s="15" t="b">
        <v>0</v>
      </c>
      <c r="D76" s="6"/>
      <c r="E76" s="21" t="s">
        <v>12</v>
      </c>
      <c r="F76" s="21">
        <f>COUNTIF(C74:C83,TRUE)</f>
        <v>2</v>
      </c>
      <c r="G76" s="18"/>
      <c r="H76" s="6"/>
      <c r="I76" s="6"/>
      <c r="J76" s="6"/>
      <c r="K76" s="6"/>
      <c r="L76" s="6"/>
      <c r="M76" s="6"/>
    </row>
    <row r="77" ht="20" customHeight="1" spans="1:13">
      <c r="A77" s="13"/>
      <c r="B77" s="17" t="s">
        <v>6</v>
      </c>
      <c r="C77" s="15" t="b">
        <v>0</v>
      </c>
      <c r="D77" s="6"/>
      <c r="E77" s="21" t="s">
        <v>14</v>
      </c>
      <c r="F77" s="21">
        <f>F75-F76</f>
        <v>8</v>
      </c>
      <c r="G77" s="18"/>
      <c r="H77" s="6"/>
      <c r="I77" s="6"/>
      <c r="J77" s="6"/>
      <c r="K77" s="6"/>
      <c r="L77" s="6"/>
      <c r="M77" s="6"/>
    </row>
    <row r="78" ht="20" customHeight="1" spans="1:13">
      <c r="A78" s="13"/>
      <c r="B78" s="17" t="s">
        <v>76</v>
      </c>
      <c r="C78" s="15" t="b">
        <v>1</v>
      </c>
      <c r="D78" s="6"/>
      <c r="E78" s="21" t="s">
        <v>16</v>
      </c>
      <c r="F78" s="22">
        <f>F76/F75</f>
        <v>0.2</v>
      </c>
      <c r="G78" s="18"/>
      <c r="H78" s="6"/>
      <c r="I78" s="6"/>
      <c r="J78" s="6"/>
      <c r="K78" s="6"/>
      <c r="L78" s="6"/>
      <c r="M78" s="6"/>
    </row>
    <row r="79" ht="20" customHeight="1" spans="1:13">
      <c r="A79" s="13"/>
      <c r="B79" s="17" t="s">
        <v>77</v>
      </c>
      <c r="C79" s="15" t="b">
        <v>0</v>
      </c>
      <c r="D79" s="6"/>
      <c r="E79" s="6"/>
      <c r="F79" s="6"/>
      <c r="G79" s="18"/>
      <c r="H79" s="6"/>
      <c r="I79" s="6"/>
      <c r="J79" s="6"/>
      <c r="K79" s="6"/>
      <c r="L79" s="6"/>
      <c r="M79" s="6"/>
    </row>
    <row r="80" ht="20" customHeight="1" spans="1:13">
      <c r="A80" s="13"/>
      <c r="B80" s="17" t="s">
        <v>78</v>
      </c>
      <c r="C80" s="15" t="b">
        <v>0</v>
      </c>
      <c r="D80" s="6"/>
      <c r="E80" s="6"/>
      <c r="F80" s="6"/>
      <c r="G80" s="18"/>
      <c r="H80" s="6"/>
      <c r="I80" s="6"/>
      <c r="J80" s="6"/>
      <c r="K80" s="6"/>
      <c r="L80" s="6"/>
      <c r="M80" s="6"/>
    </row>
    <row r="81" ht="20" customHeight="1" spans="1:13">
      <c r="A81" s="13"/>
      <c r="B81" s="17" t="s">
        <v>28</v>
      </c>
      <c r="C81" s="15" t="b">
        <v>0</v>
      </c>
      <c r="D81" s="6"/>
      <c r="E81" s="6"/>
      <c r="F81" s="6"/>
      <c r="G81" s="18"/>
      <c r="H81" s="6"/>
      <c r="I81" s="6"/>
      <c r="J81" s="6"/>
      <c r="K81" s="6"/>
      <c r="L81" s="6"/>
      <c r="M81" s="6"/>
    </row>
    <row r="82" ht="31" customHeight="1" spans="1:13">
      <c r="A82" s="13"/>
      <c r="B82" s="26" t="s">
        <v>79</v>
      </c>
      <c r="C82" s="15" t="b">
        <v>0</v>
      </c>
      <c r="D82" s="6"/>
      <c r="E82" s="6"/>
      <c r="F82" s="6"/>
      <c r="G82" s="18"/>
      <c r="H82" s="6"/>
      <c r="I82" s="6"/>
      <c r="J82" s="6"/>
      <c r="K82" s="6"/>
      <c r="L82" s="6"/>
      <c r="M82" s="6"/>
    </row>
    <row r="83" ht="20" customHeight="1" spans="1:13">
      <c r="A83" s="13"/>
      <c r="B83" s="27" t="s">
        <v>80</v>
      </c>
      <c r="C83" s="24" t="b">
        <v>0</v>
      </c>
      <c r="D83" s="12"/>
      <c r="E83" s="12"/>
      <c r="F83" s="12"/>
      <c r="G83" s="25"/>
      <c r="H83" s="6"/>
      <c r="I83" s="6"/>
      <c r="J83" s="6"/>
      <c r="K83" s="6"/>
      <c r="L83" s="6"/>
      <c r="M83" s="6"/>
    </row>
    <row r="84" ht="20" customHeight="1" spans="1:13">
      <c r="A84" s="13"/>
      <c r="B84" s="14" t="s">
        <v>81</v>
      </c>
      <c r="C84" s="15" t="b">
        <v>0</v>
      </c>
      <c r="D84" s="6"/>
      <c r="E84" s="6"/>
      <c r="F84" s="6"/>
      <c r="G84" s="18"/>
      <c r="H84" s="6"/>
      <c r="I84" s="6"/>
      <c r="J84" s="6"/>
      <c r="K84" s="6"/>
      <c r="L84" s="6"/>
      <c r="M84" s="6"/>
    </row>
    <row r="85" ht="20" customHeight="1" spans="1:13">
      <c r="A85" s="13"/>
      <c r="B85" s="17" t="s">
        <v>82</v>
      </c>
      <c r="C85" s="15" t="b">
        <v>0</v>
      </c>
      <c r="D85" s="6"/>
      <c r="E85" s="6"/>
      <c r="F85" s="6"/>
      <c r="G85" s="18"/>
      <c r="H85" s="6"/>
      <c r="I85" s="6"/>
      <c r="J85" s="6"/>
      <c r="K85" s="6"/>
      <c r="L85" s="6"/>
      <c r="M85" s="6"/>
    </row>
    <row r="86" ht="20" customHeight="1" spans="1:13">
      <c r="A86" s="13"/>
      <c r="B86" s="17" t="s">
        <v>83</v>
      </c>
      <c r="C86" s="15" t="b">
        <v>1</v>
      </c>
      <c r="D86" s="6"/>
      <c r="E86" s="6"/>
      <c r="F86" s="6"/>
      <c r="G86" s="18"/>
      <c r="H86" s="6"/>
      <c r="I86" s="6"/>
      <c r="J86" s="6"/>
      <c r="K86" s="6"/>
      <c r="L86" s="6"/>
      <c r="M86" s="6"/>
    </row>
    <row r="87" ht="20" customHeight="1" spans="1:13">
      <c r="A87" s="13"/>
      <c r="B87" s="17" t="s">
        <v>84</v>
      </c>
      <c r="C87" s="15" t="b">
        <v>0</v>
      </c>
      <c r="D87" s="6"/>
      <c r="E87" s="21" t="s">
        <v>10</v>
      </c>
      <c r="F87" s="21">
        <v>15</v>
      </c>
      <c r="G87" s="18"/>
      <c r="H87" s="6"/>
      <c r="I87" s="6"/>
      <c r="J87" s="6"/>
      <c r="K87" s="6"/>
      <c r="L87" s="6"/>
      <c r="M87" s="6"/>
    </row>
    <row r="88" ht="20" customHeight="1" spans="1:13">
      <c r="A88" s="13"/>
      <c r="B88" s="17" t="s">
        <v>85</v>
      </c>
      <c r="C88" s="15" t="b">
        <v>1</v>
      </c>
      <c r="D88" s="6"/>
      <c r="E88" s="21" t="s">
        <v>12</v>
      </c>
      <c r="F88" s="21">
        <f>COUNTIF(C84:C98,TRUE)</f>
        <v>3</v>
      </c>
      <c r="G88" s="18"/>
      <c r="H88" s="6"/>
      <c r="I88" s="6"/>
      <c r="J88" s="6"/>
      <c r="K88" s="6"/>
      <c r="L88" s="6"/>
      <c r="M88" s="6"/>
    </row>
    <row r="89" ht="20" customHeight="1" spans="1:13">
      <c r="A89" s="13"/>
      <c r="B89" s="20" t="s">
        <v>86</v>
      </c>
      <c r="C89" s="15" t="b">
        <v>0</v>
      </c>
      <c r="D89" s="6"/>
      <c r="E89" s="21" t="s">
        <v>14</v>
      </c>
      <c r="F89" s="21">
        <f>F87-F88</f>
        <v>12</v>
      </c>
      <c r="G89" s="18"/>
      <c r="H89" s="6"/>
      <c r="I89" s="6"/>
      <c r="J89" s="6"/>
      <c r="K89" s="6"/>
      <c r="L89" s="6"/>
      <c r="M89" s="6"/>
    </row>
    <row r="90" ht="38" customHeight="1" spans="1:13">
      <c r="A90" s="13"/>
      <c r="B90" s="19" t="s">
        <v>87</v>
      </c>
      <c r="C90" s="15" t="b">
        <v>1</v>
      </c>
      <c r="D90" s="6"/>
      <c r="E90" s="21" t="s">
        <v>16</v>
      </c>
      <c r="F90" s="22">
        <f>F88/F87</f>
        <v>0.2</v>
      </c>
      <c r="G90" s="18"/>
      <c r="H90" s="6"/>
      <c r="I90" s="6"/>
      <c r="J90" s="6"/>
      <c r="K90" s="6"/>
      <c r="L90" s="6"/>
      <c r="M90" s="6"/>
    </row>
    <row r="91" ht="37" customHeight="1" spans="1:13">
      <c r="A91" s="13"/>
      <c r="B91" s="19" t="s">
        <v>88</v>
      </c>
      <c r="C91" s="15" t="b">
        <v>0</v>
      </c>
      <c r="D91" s="6"/>
      <c r="E91" s="6"/>
      <c r="F91" s="6"/>
      <c r="G91" s="18"/>
      <c r="H91" s="6"/>
      <c r="I91" s="6"/>
      <c r="J91" s="6"/>
      <c r="K91" s="6"/>
      <c r="L91" s="6"/>
      <c r="M91" s="6"/>
    </row>
    <row r="92" ht="20" customHeight="1" spans="1:13">
      <c r="A92" s="13"/>
      <c r="B92" s="20" t="s">
        <v>89</v>
      </c>
      <c r="C92" s="15" t="b">
        <v>0</v>
      </c>
      <c r="D92" s="6"/>
      <c r="E92" s="6"/>
      <c r="F92" s="6"/>
      <c r="G92" s="18"/>
      <c r="H92" s="6"/>
      <c r="I92" s="6"/>
      <c r="J92" s="6"/>
      <c r="K92" s="6"/>
      <c r="L92" s="6"/>
      <c r="M92" s="6"/>
    </row>
    <row r="93" ht="36" customHeight="1" spans="1:13">
      <c r="A93" s="13"/>
      <c r="B93" s="28" t="s">
        <v>90</v>
      </c>
      <c r="C93" s="15" t="b">
        <v>0</v>
      </c>
      <c r="D93" s="6"/>
      <c r="E93" s="6"/>
      <c r="F93" s="6"/>
      <c r="G93" s="18"/>
      <c r="H93" s="6"/>
      <c r="I93" s="6"/>
      <c r="J93" s="6"/>
      <c r="K93" s="6"/>
      <c r="L93" s="6"/>
      <c r="M93" s="6"/>
    </row>
    <row r="94" ht="36" customHeight="1" spans="1:13">
      <c r="A94" s="13"/>
      <c r="B94" s="28" t="s">
        <v>91</v>
      </c>
      <c r="C94" s="15" t="b">
        <v>0</v>
      </c>
      <c r="D94" s="6"/>
      <c r="E94" s="6"/>
      <c r="F94" s="6"/>
      <c r="G94" s="18"/>
      <c r="H94" s="6"/>
      <c r="I94" s="6"/>
      <c r="J94" s="6"/>
      <c r="K94" s="6"/>
      <c r="L94" s="6"/>
      <c r="M94" s="6"/>
    </row>
    <row r="95" ht="34" customHeight="1" spans="1:13">
      <c r="A95" s="13"/>
      <c r="B95" s="28" t="s">
        <v>92</v>
      </c>
      <c r="C95" s="15" t="b">
        <v>0</v>
      </c>
      <c r="D95" s="6"/>
      <c r="E95" s="6"/>
      <c r="F95" s="6"/>
      <c r="G95" s="18"/>
      <c r="H95" s="6"/>
      <c r="I95" s="6"/>
      <c r="J95" s="6"/>
      <c r="K95" s="6"/>
      <c r="L95" s="6"/>
      <c r="M95" s="6"/>
    </row>
    <row r="96" ht="20" customHeight="1" spans="1:13">
      <c r="A96" s="13"/>
      <c r="B96" s="17" t="s">
        <v>93</v>
      </c>
      <c r="C96" s="15" t="b">
        <v>0</v>
      </c>
      <c r="D96" s="6"/>
      <c r="E96" s="6"/>
      <c r="F96" s="6"/>
      <c r="G96" s="18"/>
      <c r="H96" s="6"/>
      <c r="I96" s="6"/>
      <c r="J96" s="6"/>
      <c r="K96" s="6"/>
      <c r="L96" s="6"/>
      <c r="M96" s="6"/>
    </row>
    <row r="97" ht="36" customHeight="1" spans="1:13">
      <c r="A97" s="13"/>
      <c r="B97" s="19" t="s">
        <v>94</v>
      </c>
      <c r="C97" s="15" t="b">
        <v>0</v>
      </c>
      <c r="D97" s="6"/>
      <c r="E97" s="6"/>
      <c r="F97" s="6"/>
      <c r="G97" s="18"/>
      <c r="H97" s="6"/>
      <c r="I97" s="6"/>
      <c r="J97" s="6"/>
      <c r="K97" s="6"/>
      <c r="L97" s="6"/>
      <c r="M97" s="6"/>
    </row>
    <row r="98" ht="37" customHeight="1" spans="1:13">
      <c r="A98" s="13"/>
      <c r="B98" s="29" t="s">
        <v>95</v>
      </c>
      <c r="C98" s="24" t="b">
        <v>0</v>
      </c>
      <c r="D98" s="12"/>
      <c r="E98" s="12"/>
      <c r="F98" s="12"/>
      <c r="G98" s="25"/>
      <c r="H98" s="6"/>
      <c r="I98" s="6"/>
      <c r="J98" s="6"/>
      <c r="K98" s="6"/>
      <c r="L98" s="6"/>
      <c r="M98" s="6"/>
    </row>
    <row r="99" ht="20" customHeight="1" spans="1:13">
      <c r="A99" s="13"/>
      <c r="B99" s="14" t="s">
        <v>96</v>
      </c>
      <c r="C99" s="15" t="b">
        <v>0</v>
      </c>
      <c r="D99" s="6"/>
      <c r="E99" s="6"/>
      <c r="F99" s="6"/>
      <c r="G99" s="18"/>
      <c r="H99" s="6"/>
      <c r="I99" s="6"/>
      <c r="J99" s="6"/>
      <c r="K99" s="6"/>
      <c r="L99" s="6"/>
      <c r="M99" s="6"/>
    </row>
    <row r="100" ht="20" customHeight="1" spans="1:13">
      <c r="A100" s="13"/>
      <c r="B100" s="17" t="s">
        <v>97</v>
      </c>
      <c r="C100" s="15" t="b">
        <v>0</v>
      </c>
      <c r="D100" s="6"/>
      <c r="E100" s="6"/>
      <c r="F100" s="6"/>
      <c r="G100" s="18"/>
      <c r="H100" s="6"/>
      <c r="I100" s="6"/>
      <c r="J100" s="6"/>
      <c r="K100" s="6"/>
      <c r="L100" s="6"/>
      <c r="M100" s="6"/>
    </row>
    <row r="101" ht="20" customHeight="1" spans="1:13">
      <c r="A101" s="13"/>
      <c r="B101" s="17" t="s">
        <v>98</v>
      </c>
      <c r="C101" s="15" t="b">
        <v>0</v>
      </c>
      <c r="D101" s="6"/>
      <c r="E101" s="6"/>
      <c r="F101" s="6"/>
      <c r="G101" s="18"/>
      <c r="H101" s="6"/>
      <c r="I101" s="6"/>
      <c r="J101" s="6"/>
      <c r="K101" s="6"/>
      <c r="L101" s="6"/>
      <c r="M101" s="6"/>
    </row>
    <row r="102" ht="20" customHeight="1" spans="1:13">
      <c r="A102" s="13"/>
      <c r="B102" s="17" t="s">
        <v>99</v>
      </c>
      <c r="C102" s="15" t="b">
        <v>1</v>
      </c>
      <c r="D102" s="6"/>
      <c r="E102" s="21" t="s">
        <v>10</v>
      </c>
      <c r="F102" s="21">
        <v>11</v>
      </c>
      <c r="G102" s="18"/>
      <c r="H102" s="6"/>
      <c r="I102" s="6"/>
      <c r="J102" s="6"/>
      <c r="K102" s="6"/>
      <c r="L102" s="6"/>
      <c r="M102" s="6"/>
    </row>
    <row r="103" ht="20" customHeight="1" spans="1:13">
      <c r="A103" s="13"/>
      <c r="B103" s="17" t="s">
        <v>100</v>
      </c>
      <c r="C103" s="15" t="b">
        <v>0</v>
      </c>
      <c r="D103" s="6"/>
      <c r="E103" s="21" t="s">
        <v>12</v>
      </c>
      <c r="F103" s="21">
        <f>COUNTIF(C99:C109,TRUE)</f>
        <v>2</v>
      </c>
      <c r="G103" s="18"/>
      <c r="H103" s="6"/>
      <c r="I103" s="6"/>
      <c r="J103" s="6"/>
      <c r="K103" s="6"/>
      <c r="L103" s="6"/>
      <c r="M103" s="6"/>
    </row>
    <row r="104" ht="36" spans="1:13">
      <c r="A104" s="13"/>
      <c r="B104" s="26" t="s">
        <v>101</v>
      </c>
      <c r="C104" s="15" t="b">
        <v>1</v>
      </c>
      <c r="D104" s="6"/>
      <c r="E104" s="21" t="s">
        <v>14</v>
      </c>
      <c r="F104" s="21">
        <f>F102-F103</f>
        <v>9</v>
      </c>
      <c r="G104" s="18"/>
      <c r="H104" s="6"/>
      <c r="I104" s="6"/>
      <c r="J104" s="6"/>
      <c r="K104" s="6"/>
      <c r="L104" s="6"/>
      <c r="M104" s="6"/>
    </row>
    <row r="105" ht="20" customHeight="1" spans="1:13">
      <c r="A105" s="13"/>
      <c r="B105" s="17" t="s">
        <v>102</v>
      </c>
      <c r="C105" s="15" t="b">
        <v>0</v>
      </c>
      <c r="D105" s="6"/>
      <c r="E105" s="21" t="s">
        <v>16</v>
      </c>
      <c r="F105" s="22">
        <f>F103/F102</f>
        <v>0.181818181818182</v>
      </c>
      <c r="G105" s="18"/>
      <c r="H105" s="6"/>
      <c r="I105" s="6"/>
      <c r="J105" s="6"/>
      <c r="K105" s="6"/>
      <c r="L105" s="6"/>
      <c r="M105" s="6"/>
    </row>
    <row r="106" ht="20" customHeight="1" spans="1:13">
      <c r="A106" s="13"/>
      <c r="B106" s="17" t="s">
        <v>103</v>
      </c>
      <c r="C106" s="15" t="b">
        <v>0</v>
      </c>
      <c r="D106" s="6"/>
      <c r="E106" s="6"/>
      <c r="F106" s="6"/>
      <c r="G106" s="18"/>
      <c r="H106" s="6"/>
      <c r="I106" s="6"/>
      <c r="J106" s="6"/>
      <c r="K106" s="6"/>
      <c r="L106" s="6"/>
      <c r="M106" s="6"/>
    </row>
    <row r="107" ht="20" customHeight="1" spans="1:13">
      <c r="A107" s="13"/>
      <c r="B107" s="17" t="s">
        <v>104</v>
      </c>
      <c r="C107" s="15" t="b">
        <v>0</v>
      </c>
      <c r="D107" s="6"/>
      <c r="E107" s="6"/>
      <c r="F107" s="6"/>
      <c r="G107" s="18"/>
      <c r="H107" s="6"/>
      <c r="I107" s="6"/>
      <c r="J107" s="6"/>
      <c r="K107" s="6"/>
      <c r="L107" s="6"/>
      <c r="M107" s="6"/>
    </row>
    <row r="108" ht="20" customHeight="1" spans="1:13">
      <c r="A108" s="13"/>
      <c r="B108" s="17" t="s">
        <v>105</v>
      </c>
      <c r="C108" s="15" t="b">
        <v>0</v>
      </c>
      <c r="D108" s="6"/>
      <c r="E108" s="6"/>
      <c r="F108" s="6"/>
      <c r="G108" s="18"/>
      <c r="H108" s="6"/>
      <c r="I108" s="6"/>
      <c r="J108" s="6"/>
      <c r="K108" s="6"/>
      <c r="L108" s="6"/>
      <c r="M108" s="6"/>
    </row>
    <row r="109" ht="20" customHeight="1" spans="1:13">
      <c r="A109" s="13"/>
      <c r="B109" s="27" t="s">
        <v>106</v>
      </c>
      <c r="C109" s="24" t="b">
        <v>0</v>
      </c>
      <c r="D109" s="12"/>
      <c r="E109" s="12"/>
      <c r="F109" s="12"/>
      <c r="G109" s="25"/>
      <c r="H109" s="6"/>
      <c r="I109" s="6"/>
      <c r="J109" s="6"/>
      <c r="K109" s="6"/>
      <c r="L109" s="6"/>
      <c r="M109" s="6"/>
    </row>
    <row r="110" ht="20" customHeight="1" spans="1:13">
      <c r="A110" s="13"/>
      <c r="B110" s="14" t="s">
        <v>107</v>
      </c>
      <c r="C110" s="15" t="b">
        <v>0</v>
      </c>
      <c r="D110" s="6"/>
      <c r="E110" s="6"/>
      <c r="F110" s="6"/>
      <c r="G110" s="18"/>
      <c r="H110" s="6"/>
      <c r="I110" s="6"/>
      <c r="J110" s="6"/>
      <c r="K110" s="6"/>
      <c r="L110" s="6"/>
      <c r="M110" s="6"/>
    </row>
    <row r="111" ht="20" customHeight="1" spans="1:13">
      <c r="A111" s="13"/>
      <c r="B111" s="17" t="s">
        <v>108</v>
      </c>
      <c r="C111" s="15" t="b">
        <v>0</v>
      </c>
      <c r="D111" s="6"/>
      <c r="E111" s="6"/>
      <c r="F111" s="6"/>
      <c r="G111" s="18"/>
      <c r="H111" s="6"/>
      <c r="I111" s="6"/>
      <c r="J111" s="6"/>
      <c r="K111" s="6"/>
      <c r="L111" s="6"/>
      <c r="M111" s="6"/>
    </row>
    <row r="112" ht="20" customHeight="1" spans="1:13">
      <c r="A112" s="13"/>
      <c r="B112" s="27" t="s">
        <v>109</v>
      </c>
      <c r="C112" s="24" t="b">
        <v>0</v>
      </c>
      <c r="D112" s="12"/>
      <c r="E112" s="12"/>
      <c r="F112" s="12"/>
      <c r="G112" s="25"/>
      <c r="H112" s="6"/>
      <c r="I112" s="6"/>
      <c r="J112" s="6"/>
      <c r="K112" s="6"/>
      <c r="L112" s="6"/>
      <c r="M112" s="6"/>
    </row>
    <row r="113" ht="20" customHeight="1" spans="1:13">
      <c r="A113" s="13"/>
      <c r="B113" s="14" t="s">
        <v>110</v>
      </c>
      <c r="C113" s="15" t="b">
        <v>0</v>
      </c>
      <c r="D113" s="6"/>
      <c r="E113" s="6"/>
      <c r="F113" s="6"/>
      <c r="G113" s="18"/>
      <c r="H113" s="6"/>
      <c r="I113" s="6"/>
      <c r="J113" s="6"/>
      <c r="K113" s="6"/>
      <c r="L113" s="6"/>
      <c r="M113" s="6"/>
    </row>
    <row r="114" ht="41" customHeight="1" spans="1:13">
      <c r="A114" s="13"/>
      <c r="B114" s="26" t="s">
        <v>111</v>
      </c>
      <c r="C114" s="15" t="b">
        <v>1</v>
      </c>
      <c r="D114" s="6"/>
      <c r="E114" s="6"/>
      <c r="F114" s="6"/>
      <c r="G114" s="18"/>
      <c r="H114" s="6"/>
      <c r="I114" s="6"/>
      <c r="J114" s="6"/>
      <c r="K114" s="6"/>
      <c r="L114" s="6"/>
      <c r="M114" s="6"/>
    </row>
    <row r="115" ht="20" customHeight="1" spans="1:13">
      <c r="A115" s="13"/>
      <c r="B115" s="17" t="s">
        <v>112</v>
      </c>
      <c r="C115" s="15" t="b">
        <v>1</v>
      </c>
      <c r="D115" s="6"/>
      <c r="E115" s="21" t="s">
        <v>10</v>
      </c>
      <c r="F115" s="21">
        <v>38</v>
      </c>
      <c r="G115" s="18"/>
      <c r="H115" s="6"/>
      <c r="I115" s="6"/>
      <c r="J115" s="6"/>
      <c r="K115" s="6"/>
      <c r="L115" s="6"/>
      <c r="M115" s="6"/>
    </row>
    <row r="116" ht="20" customHeight="1" spans="1:13">
      <c r="A116" s="13"/>
      <c r="B116" s="17" t="s">
        <v>113</v>
      </c>
      <c r="C116" s="15" t="b">
        <v>0</v>
      </c>
      <c r="D116" s="6"/>
      <c r="E116" s="21" t="s">
        <v>12</v>
      </c>
      <c r="F116" s="21">
        <f>COUNTIF(C113:C150,TRUE)</f>
        <v>4</v>
      </c>
      <c r="G116" s="18"/>
      <c r="H116" s="6"/>
      <c r="I116" s="6"/>
      <c r="J116" s="6"/>
      <c r="K116" s="6"/>
      <c r="L116" s="6"/>
      <c r="M116" s="6"/>
    </row>
    <row r="117" ht="53" spans="1:13">
      <c r="A117" s="13"/>
      <c r="B117" s="30" t="s">
        <v>114</v>
      </c>
      <c r="C117" s="15" t="b">
        <v>1</v>
      </c>
      <c r="D117" s="6"/>
      <c r="E117" s="21" t="s">
        <v>14</v>
      </c>
      <c r="F117" s="21">
        <f>F115-F116</f>
        <v>34</v>
      </c>
      <c r="G117" s="18"/>
      <c r="H117" s="6"/>
      <c r="I117" s="6"/>
      <c r="J117" s="6"/>
      <c r="K117" s="6"/>
      <c r="L117" s="6"/>
      <c r="M117" s="6"/>
    </row>
    <row r="118" ht="53" spans="1:13">
      <c r="A118" s="13"/>
      <c r="B118" s="30" t="s">
        <v>115</v>
      </c>
      <c r="C118" s="15" t="b">
        <v>0</v>
      </c>
      <c r="D118" s="6"/>
      <c r="E118" s="21" t="s">
        <v>16</v>
      </c>
      <c r="F118" s="22">
        <f>F116/F115</f>
        <v>0.105263157894737</v>
      </c>
      <c r="G118" s="18"/>
      <c r="H118" s="6"/>
      <c r="I118" s="6"/>
      <c r="J118" s="6"/>
      <c r="K118" s="6"/>
      <c r="L118" s="6"/>
      <c r="M118" s="6"/>
    </row>
    <row r="119" ht="53" spans="1:13">
      <c r="A119" s="13"/>
      <c r="B119" s="30" t="s">
        <v>116</v>
      </c>
      <c r="C119" s="15" t="b">
        <v>0</v>
      </c>
      <c r="D119" s="6"/>
      <c r="E119" s="6"/>
      <c r="F119" s="6"/>
      <c r="G119" s="18"/>
      <c r="H119" s="6"/>
      <c r="I119" s="6"/>
      <c r="J119" s="6"/>
      <c r="K119" s="6"/>
      <c r="L119" s="6"/>
      <c r="M119" s="6"/>
    </row>
    <row r="120" ht="20" customHeight="1" spans="1:13">
      <c r="A120" s="13"/>
      <c r="B120" s="30" t="s">
        <v>117</v>
      </c>
      <c r="C120" s="15" t="b">
        <v>0</v>
      </c>
      <c r="D120" s="6"/>
      <c r="E120" s="6"/>
      <c r="F120" s="6"/>
      <c r="G120" s="18"/>
      <c r="H120" s="6"/>
      <c r="I120" s="6"/>
      <c r="J120" s="6"/>
      <c r="K120" s="6"/>
      <c r="L120" s="6"/>
      <c r="M120" s="6"/>
    </row>
    <row r="121" ht="53" spans="1:13">
      <c r="A121" s="13"/>
      <c r="B121" s="30" t="s">
        <v>118</v>
      </c>
      <c r="C121" s="15" t="b">
        <v>1</v>
      </c>
      <c r="D121" s="6"/>
      <c r="E121" s="6"/>
      <c r="F121" s="6"/>
      <c r="G121" s="18"/>
      <c r="H121" s="6"/>
      <c r="I121" s="6"/>
      <c r="J121" s="6"/>
      <c r="K121" s="6"/>
      <c r="L121" s="6"/>
      <c r="M121" s="6"/>
    </row>
    <row r="122" ht="20" customHeight="1" spans="1:13">
      <c r="A122" s="13"/>
      <c r="B122" s="30" t="s">
        <v>119</v>
      </c>
      <c r="C122" s="15" t="b">
        <v>0</v>
      </c>
      <c r="D122" s="6"/>
      <c r="E122" s="6"/>
      <c r="F122" s="6"/>
      <c r="G122" s="18"/>
      <c r="H122" s="6"/>
      <c r="I122" s="6"/>
      <c r="J122" s="6"/>
      <c r="K122" s="6"/>
      <c r="L122" s="6"/>
      <c r="M122" s="6"/>
    </row>
    <row r="123" ht="53" spans="1:13">
      <c r="A123" s="13"/>
      <c r="B123" s="30" t="s">
        <v>120</v>
      </c>
      <c r="C123" s="15" t="b">
        <v>0</v>
      </c>
      <c r="D123" s="6"/>
      <c r="E123" s="6"/>
      <c r="F123" s="6"/>
      <c r="G123" s="18"/>
      <c r="H123" s="6"/>
      <c r="I123" s="6"/>
      <c r="J123" s="6"/>
      <c r="K123" s="6"/>
      <c r="L123" s="6"/>
      <c r="M123" s="6"/>
    </row>
    <row r="124" ht="53" spans="1:13">
      <c r="A124" s="13"/>
      <c r="B124" s="30" t="s">
        <v>121</v>
      </c>
      <c r="C124" s="15" t="b">
        <v>0</v>
      </c>
      <c r="D124" s="6"/>
      <c r="E124" s="6"/>
      <c r="F124" s="6"/>
      <c r="G124" s="18"/>
      <c r="H124" s="6"/>
      <c r="I124" s="6"/>
      <c r="J124" s="6"/>
      <c r="K124" s="6"/>
      <c r="L124" s="6"/>
      <c r="M124" s="6"/>
    </row>
    <row r="125" ht="53" spans="1:13">
      <c r="A125" s="13"/>
      <c r="B125" s="30" t="s">
        <v>122</v>
      </c>
      <c r="C125" s="15" t="b">
        <v>0</v>
      </c>
      <c r="D125" s="6"/>
      <c r="E125" s="6"/>
      <c r="F125" s="6"/>
      <c r="G125" s="18"/>
      <c r="H125" s="6"/>
      <c r="I125" s="6"/>
      <c r="J125" s="6"/>
      <c r="K125" s="6"/>
      <c r="L125" s="6"/>
      <c r="M125" s="6"/>
    </row>
    <row r="126" ht="36" spans="1:13">
      <c r="A126" s="13"/>
      <c r="B126" s="30" t="s">
        <v>123</v>
      </c>
      <c r="C126" s="15" t="b">
        <v>0</v>
      </c>
      <c r="D126" s="6"/>
      <c r="E126" s="6"/>
      <c r="F126" s="6"/>
      <c r="G126" s="18"/>
      <c r="H126" s="6"/>
      <c r="I126" s="6"/>
      <c r="J126" s="6"/>
      <c r="K126" s="6"/>
      <c r="L126" s="6"/>
      <c r="M126" s="6"/>
    </row>
    <row r="127" ht="36" spans="1:13">
      <c r="A127" s="13"/>
      <c r="B127" s="30" t="s">
        <v>124</v>
      </c>
      <c r="C127" s="15" t="b">
        <v>0</v>
      </c>
      <c r="D127" s="6"/>
      <c r="E127" s="6"/>
      <c r="F127" s="6"/>
      <c r="G127" s="18"/>
      <c r="H127" s="6"/>
      <c r="I127" s="6"/>
      <c r="J127" s="6"/>
      <c r="K127" s="6"/>
      <c r="L127" s="6"/>
      <c r="M127" s="6"/>
    </row>
    <row r="128" ht="53" spans="1:13">
      <c r="A128" s="13"/>
      <c r="B128" s="30" t="s">
        <v>125</v>
      </c>
      <c r="C128" s="15" t="b">
        <v>0</v>
      </c>
      <c r="D128" s="6"/>
      <c r="E128" s="6"/>
      <c r="F128" s="6"/>
      <c r="G128" s="18"/>
      <c r="H128" s="6"/>
      <c r="I128" s="6"/>
      <c r="J128" s="6"/>
      <c r="K128" s="6"/>
      <c r="L128" s="6"/>
      <c r="M128" s="6"/>
    </row>
    <row r="129" ht="36" spans="1:13">
      <c r="A129" s="13"/>
      <c r="B129" s="30" t="s">
        <v>126</v>
      </c>
      <c r="C129" s="15" t="b">
        <v>0</v>
      </c>
      <c r="D129" s="6"/>
      <c r="E129" s="6"/>
      <c r="F129" s="6"/>
      <c r="G129" s="18"/>
      <c r="H129" s="6"/>
      <c r="I129" s="6"/>
      <c r="J129" s="6"/>
      <c r="K129" s="6"/>
      <c r="L129" s="6"/>
      <c r="M129" s="6"/>
    </row>
    <row r="130" ht="53" spans="1:13">
      <c r="A130" s="13"/>
      <c r="B130" s="30" t="s">
        <v>127</v>
      </c>
      <c r="C130" s="15" t="b">
        <v>0</v>
      </c>
      <c r="D130" s="6"/>
      <c r="E130" s="6"/>
      <c r="F130" s="6"/>
      <c r="G130" s="18"/>
      <c r="H130" s="6"/>
      <c r="I130" s="6"/>
      <c r="J130" s="6"/>
      <c r="K130" s="6"/>
      <c r="L130" s="6"/>
      <c r="M130" s="6"/>
    </row>
    <row r="131" ht="36" spans="1:13">
      <c r="A131" s="13"/>
      <c r="B131" s="30" t="s">
        <v>128</v>
      </c>
      <c r="C131" s="15" t="b">
        <v>0</v>
      </c>
      <c r="D131" s="6"/>
      <c r="E131" s="6"/>
      <c r="F131" s="6"/>
      <c r="G131" s="18"/>
      <c r="H131" s="6"/>
      <c r="I131" s="6"/>
      <c r="J131" s="6"/>
      <c r="K131" s="6"/>
      <c r="L131" s="6"/>
      <c r="M131" s="6"/>
    </row>
    <row r="132" ht="20" customHeight="1" spans="1:13">
      <c r="A132" s="13"/>
      <c r="B132" s="30" t="s">
        <v>129</v>
      </c>
      <c r="C132" s="15" t="b">
        <v>0</v>
      </c>
      <c r="D132" s="6"/>
      <c r="E132" s="6"/>
      <c r="F132" s="6"/>
      <c r="G132" s="18"/>
      <c r="H132" s="6"/>
      <c r="I132" s="6"/>
      <c r="J132" s="6"/>
      <c r="K132" s="6"/>
      <c r="L132" s="6"/>
      <c r="M132" s="6"/>
    </row>
    <row r="133" ht="36" spans="1:13">
      <c r="A133" s="13"/>
      <c r="B133" s="30" t="s">
        <v>130</v>
      </c>
      <c r="C133" s="15" t="b">
        <v>0</v>
      </c>
      <c r="D133" s="6"/>
      <c r="E133" s="6"/>
      <c r="F133" s="6"/>
      <c r="G133" s="18"/>
      <c r="H133" s="6"/>
      <c r="I133" s="6"/>
      <c r="J133" s="6"/>
      <c r="K133" s="6"/>
      <c r="L133" s="6"/>
      <c r="M133" s="6"/>
    </row>
    <row r="134" ht="36" spans="1:13">
      <c r="A134" s="13"/>
      <c r="B134" s="30" t="s">
        <v>131</v>
      </c>
      <c r="C134" s="15" t="b">
        <v>0</v>
      </c>
      <c r="D134" s="6"/>
      <c r="E134" s="6"/>
      <c r="F134" s="6"/>
      <c r="G134" s="18"/>
      <c r="H134" s="6"/>
      <c r="I134" s="6"/>
      <c r="J134" s="6"/>
      <c r="K134" s="6"/>
      <c r="L134" s="6"/>
      <c r="M134" s="6"/>
    </row>
    <row r="135" ht="36" spans="1:13">
      <c r="A135" s="13"/>
      <c r="B135" s="30" t="s">
        <v>132</v>
      </c>
      <c r="C135" s="15" t="b">
        <v>0</v>
      </c>
      <c r="D135" s="6"/>
      <c r="E135" s="6"/>
      <c r="F135" s="6"/>
      <c r="G135" s="18"/>
      <c r="H135" s="6"/>
      <c r="I135" s="6"/>
      <c r="J135" s="6"/>
      <c r="K135" s="6"/>
      <c r="L135" s="6"/>
      <c r="M135" s="6"/>
    </row>
    <row r="136" ht="20" customHeight="1" spans="1:13">
      <c r="A136" s="13"/>
      <c r="B136" s="30" t="s">
        <v>133</v>
      </c>
      <c r="C136" s="15" t="b">
        <v>0</v>
      </c>
      <c r="D136" s="6"/>
      <c r="E136" s="6"/>
      <c r="F136" s="6"/>
      <c r="G136" s="18"/>
      <c r="H136" s="6"/>
      <c r="I136" s="6"/>
      <c r="J136" s="6"/>
      <c r="K136" s="6"/>
      <c r="L136" s="6"/>
      <c r="M136" s="6"/>
    </row>
    <row r="137" ht="20" customHeight="1" spans="1:13">
      <c r="A137" s="13"/>
      <c r="B137" s="30" t="s">
        <v>134</v>
      </c>
      <c r="C137" s="15" t="b">
        <v>0</v>
      </c>
      <c r="D137" s="6"/>
      <c r="E137" s="6"/>
      <c r="F137" s="6"/>
      <c r="G137" s="18"/>
      <c r="H137" s="6"/>
      <c r="I137" s="6"/>
      <c r="J137" s="6"/>
      <c r="K137" s="6"/>
      <c r="L137" s="6"/>
      <c r="M137" s="6"/>
    </row>
    <row r="138" ht="36" spans="1:13">
      <c r="A138" s="13"/>
      <c r="B138" s="30" t="s">
        <v>135</v>
      </c>
      <c r="C138" s="15" t="b">
        <v>0</v>
      </c>
      <c r="D138" s="6"/>
      <c r="E138" s="6"/>
      <c r="F138" s="6"/>
      <c r="G138" s="18"/>
      <c r="H138" s="6"/>
      <c r="I138" s="6"/>
      <c r="J138" s="6"/>
      <c r="K138" s="6"/>
      <c r="L138" s="6"/>
      <c r="M138" s="6"/>
    </row>
    <row r="139" ht="58" customHeight="1" spans="1:13">
      <c r="A139" s="13"/>
      <c r="B139" s="30" t="s">
        <v>136</v>
      </c>
      <c r="C139" s="15" t="b">
        <v>0</v>
      </c>
      <c r="D139" s="6"/>
      <c r="E139" s="6"/>
      <c r="F139" s="6"/>
      <c r="G139" s="18"/>
      <c r="H139" s="6"/>
      <c r="I139" s="6"/>
      <c r="J139" s="6"/>
      <c r="K139" s="6"/>
      <c r="L139" s="6"/>
      <c r="M139" s="6"/>
    </row>
    <row r="140" ht="53" spans="1:13">
      <c r="A140" s="13"/>
      <c r="B140" s="30" t="s">
        <v>137</v>
      </c>
      <c r="C140" s="15" t="b">
        <v>0</v>
      </c>
      <c r="D140" s="6"/>
      <c r="E140" s="6"/>
      <c r="F140" s="6"/>
      <c r="G140" s="18"/>
      <c r="H140" s="6"/>
      <c r="I140" s="6"/>
      <c r="J140" s="6"/>
      <c r="K140" s="6"/>
      <c r="L140" s="6"/>
      <c r="M140" s="6"/>
    </row>
    <row r="141" ht="71" spans="1:13">
      <c r="A141" s="13"/>
      <c r="B141" s="30" t="s">
        <v>138</v>
      </c>
      <c r="C141" s="15" t="b">
        <v>0</v>
      </c>
      <c r="D141" s="6"/>
      <c r="E141" s="6"/>
      <c r="F141" s="6"/>
      <c r="G141" s="18"/>
      <c r="H141" s="6"/>
      <c r="I141" s="6"/>
      <c r="J141" s="6"/>
      <c r="K141" s="6"/>
      <c r="L141" s="6"/>
      <c r="M141" s="6"/>
    </row>
    <row r="142" ht="106" spans="1:13">
      <c r="A142" s="13"/>
      <c r="B142" s="30" t="s">
        <v>139</v>
      </c>
      <c r="C142" s="15" t="b">
        <v>0</v>
      </c>
      <c r="D142" s="6"/>
      <c r="E142" s="6"/>
      <c r="F142" s="6"/>
      <c r="G142" s="18"/>
      <c r="H142" s="6"/>
      <c r="I142" s="6"/>
      <c r="J142" s="6"/>
      <c r="K142" s="6"/>
      <c r="L142" s="6"/>
      <c r="M142" s="6"/>
    </row>
    <row r="143" ht="20" customHeight="1" spans="1:13">
      <c r="A143" s="13"/>
      <c r="B143" s="30" t="s">
        <v>140</v>
      </c>
      <c r="C143" s="15" t="b">
        <v>0</v>
      </c>
      <c r="D143" s="6"/>
      <c r="E143" s="6"/>
      <c r="F143" s="6"/>
      <c r="G143" s="18"/>
      <c r="H143" s="6"/>
      <c r="I143" s="6"/>
      <c r="J143" s="6"/>
      <c r="K143" s="6"/>
      <c r="L143" s="6"/>
      <c r="M143" s="6"/>
    </row>
    <row r="144" ht="36" spans="1:13">
      <c r="A144" s="13"/>
      <c r="B144" s="30" t="s">
        <v>141</v>
      </c>
      <c r="C144" s="15" t="b">
        <v>0</v>
      </c>
      <c r="D144" s="6"/>
      <c r="E144" s="6"/>
      <c r="F144" s="6"/>
      <c r="G144" s="18"/>
      <c r="H144" s="6"/>
      <c r="I144" s="6"/>
      <c r="J144" s="6"/>
      <c r="K144" s="6"/>
      <c r="L144" s="6"/>
      <c r="M144" s="6"/>
    </row>
    <row r="145" ht="53" spans="1:13">
      <c r="A145" s="13"/>
      <c r="B145" s="30" t="s">
        <v>142</v>
      </c>
      <c r="C145" s="15" t="b">
        <v>0</v>
      </c>
      <c r="D145" s="6"/>
      <c r="E145" s="6"/>
      <c r="F145" s="6"/>
      <c r="G145" s="18"/>
      <c r="H145" s="6"/>
      <c r="I145" s="6"/>
      <c r="J145" s="6"/>
      <c r="K145" s="6"/>
      <c r="L145" s="6"/>
      <c r="M145" s="6"/>
    </row>
    <row r="146" ht="53" spans="1:13">
      <c r="A146" s="13"/>
      <c r="B146" s="30" t="s">
        <v>143</v>
      </c>
      <c r="C146" s="15" t="b">
        <v>0</v>
      </c>
      <c r="D146" s="6"/>
      <c r="E146" s="6"/>
      <c r="F146" s="6"/>
      <c r="G146" s="18"/>
      <c r="H146" s="6"/>
      <c r="I146" s="6"/>
      <c r="J146" s="6"/>
      <c r="K146" s="6"/>
      <c r="L146" s="6"/>
      <c r="M146" s="6"/>
    </row>
    <row r="147" ht="20" customHeight="1" spans="1:13">
      <c r="A147" s="13"/>
      <c r="B147" s="30" t="s">
        <v>144</v>
      </c>
      <c r="C147" s="15" t="b">
        <v>0</v>
      </c>
      <c r="D147" s="6"/>
      <c r="E147" s="6"/>
      <c r="F147" s="6"/>
      <c r="G147" s="18"/>
      <c r="H147" s="6"/>
      <c r="I147" s="6"/>
      <c r="J147" s="6"/>
      <c r="K147" s="6"/>
      <c r="L147" s="6"/>
      <c r="M147" s="6"/>
    </row>
    <row r="148" ht="36" spans="1:13">
      <c r="A148" s="13"/>
      <c r="B148" s="30" t="s">
        <v>145</v>
      </c>
      <c r="C148" s="15" t="b">
        <v>0</v>
      </c>
      <c r="D148" s="6"/>
      <c r="E148" s="6"/>
      <c r="F148" s="6"/>
      <c r="G148" s="18"/>
      <c r="H148" s="6"/>
      <c r="I148" s="6"/>
      <c r="J148" s="6"/>
      <c r="K148" s="6"/>
      <c r="L148" s="6"/>
      <c r="M148" s="6"/>
    </row>
    <row r="149" ht="71" spans="1:13">
      <c r="A149" s="13"/>
      <c r="B149" s="30" t="s">
        <v>146</v>
      </c>
      <c r="C149" s="15" t="b">
        <v>0</v>
      </c>
      <c r="D149" s="6"/>
      <c r="E149" s="6"/>
      <c r="F149" s="6"/>
      <c r="G149" s="18"/>
      <c r="H149" s="6"/>
      <c r="I149" s="6"/>
      <c r="J149" s="6"/>
      <c r="K149" s="6"/>
      <c r="L149" s="6"/>
      <c r="M149" s="6"/>
    </row>
    <row r="150" ht="36.75" spans="1:13">
      <c r="A150" s="13"/>
      <c r="B150" s="31" t="s">
        <v>147</v>
      </c>
      <c r="C150" s="24" t="b">
        <v>0</v>
      </c>
      <c r="D150" s="12"/>
      <c r="E150" s="12"/>
      <c r="F150" s="12"/>
      <c r="G150" s="25"/>
      <c r="H150" s="6"/>
      <c r="I150" s="6"/>
      <c r="J150" s="6"/>
      <c r="K150" s="6"/>
      <c r="L150" s="6"/>
      <c r="M150" s="6"/>
    </row>
    <row r="151" ht="20" customHeight="1" spans="1:13">
      <c r="A151" s="13"/>
      <c r="B151" s="14" t="s">
        <v>148</v>
      </c>
      <c r="C151" s="15" t="b">
        <v>0</v>
      </c>
      <c r="D151" s="6"/>
      <c r="E151" s="6"/>
      <c r="F151" s="6"/>
      <c r="G151" s="18"/>
      <c r="H151" s="6"/>
      <c r="I151" s="6"/>
      <c r="J151" s="6"/>
      <c r="K151" s="6"/>
      <c r="L151" s="6"/>
      <c r="M151" s="6"/>
    </row>
    <row r="152" ht="20" customHeight="1" spans="1:13">
      <c r="A152" s="13"/>
      <c r="B152" s="26" t="s">
        <v>149</v>
      </c>
      <c r="C152" s="15" t="b">
        <v>1</v>
      </c>
      <c r="D152" s="6"/>
      <c r="E152" s="6"/>
      <c r="F152" s="6"/>
      <c r="G152" s="18"/>
      <c r="H152" s="6"/>
      <c r="I152" s="6"/>
      <c r="J152" s="6"/>
      <c r="K152" s="6"/>
      <c r="L152" s="6"/>
      <c r="M152" s="6"/>
    </row>
    <row r="153" ht="20" customHeight="1" spans="1:13">
      <c r="A153" s="13"/>
      <c r="B153" s="19" t="s">
        <v>150</v>
      </c>
      <c r="C153" s="15" t="b">
        <v>1</v>
      </c>
      <c r="D153" s="6"/>
      <c r="E153" s="6"/>
      <c r="F153" s="6"/>
      <c r="G153" s="18"/>
      <c r="H153" s="6"/>
      <c r="I153" s="6"/>
      <c r="J153" s="6"/>
      <c r="K153" s="6"/>
      <c r="L153" s="6"/>
      <c r="M153" s="6"/>
    </row>
    <row r="154" ht="20" customHeight="1" spans="1:13">
      <c r="A154" s="13"/>
      <c r="B154" s="19" t="s">
        <v>151</v>
      </c>
      <c r="C154" s="15" t="b">
        <v>1</v>
      </c>
      <c r="D154" s="6"/>
      <c r="E154" s="21" t="s">
        <v>10</v>
      </c>
      <c r="F154" s="21">
        <v>42</v>
      </c>
      <c r="G154" s="18"/>
      <c r="H154" s="6"/>
      <c r="I154" s="6"/>
      <c r="J154" s="6"/>
      <c r="K154" s="6"/>
      <c r="L154" s="6"/>
      <c r="M154" s="6"/>
    </row>
    <row r="155" ht="20" customHeight="1" spans="1:13">
      <c r="A155" s="13"/>
      <c r="B155" s="19" t="s">
        <v>152</v>
      </c>
      <c r="C155" s="15" t="b">
        <v>1</v>
      </c>
      <c r="D155" s="6"/>
      <c r="E155" s="21" t="s">
        <v>12</v>
      </c>
      <c r="F155" s="21">
        <f>COUNTIF(C151:C192,TRUE)</f>
        <v>7</v>
      </c>
      <c r="G155" s="18"/>
      <c r="H155" s="6"/>
      <c r="I155" s="6"/>
      <c r="J155" s="6"/>
      <c r="K155" s="6"/>
      <c r="L155" s="6"/>
      <c r="M155" s="6"/>
    </row>
    <row r="156" ht="20" customHeight="1" spans="1:13">
      <c r="A156" s="13"/>
      <c r="B156" s="26" t="s">
        <v>153</v>
      </c>
      <c r="C156" s="15" t="b">
        <v>1</v>
      </c>
      <c r="D156" s="6"/>
      <c r="E156" s="21" t="s">
        <v>14</v>
      </c>
      <c r="F156" s="21">
        <f>F154-F155</f>
        <v>35</v>
      </c>
      <c r="G156" s="18"/>
      <c r="H156" s="6"/>
      <c r="I156" s="6"/>
      <c r="J156" s="6"/>
      <c r="K156" s="6"/>
      <c r="L156" s="6"/>
      <c r="M156" s="6"/>
    </row>
    <row r="157" ht="20" customHeight="1" spans="1:13">
      <c r="A157" s="13"/>
      <c r="B157" s="19" t="s">
        <v>154</v>
      </c>
      <c r="C157" s="15" t="b">
        <v>0</v>
      </c>
      <c r="D157" s="6"/>
      <c r="E157" s="21" t="s">
        <v>16</v>
      </c>
      <c r="F157" s="22">
        <f>F155/F154</f>
        <v>0.166666666666667</v>
      </c>
      <c r="G157" s="18"/>
      <c r="H157" s="6"/>
      <c r="I157" s="6"/>
      <c r="J157" s="6"/>
      <c r="K157" s="6"/>
      <c r="L157" s="6"/>
      <c r="M157" s="6"/>
    </row>
    <row r="158" ht="20" customHeight="1" spans="1:13">
      <c r="A158" s="13"/>
      <c r="B158" s="26" t="s">
        <v>155</v>
      </c>
      <c r="C158" s="15" t="b">
        <v>0</v>
      </c>
      <c r="D158" s="6"/>
      <c r="E158" s="6"/>
      <c r="F158" s="6"/>
      <c r="G158" s="18"/>
      <c r="H158" s="6"/>
      <c r="I158" s="6"/>
      <c r="J158" s="6"/>
      <c r="K158" s="6"/>
      <c r="L158" s="6"/>
      <c r="M158" s="6"/>
    </row>
    <row r="159" ht="20" customHeight="1" spans="1:13">
      <c r="A159" s="13"/>
      <c r="B159" s="19" t="s">
        <v>156</v>
      </c>
      <c r="C159" s="15" t="b">
        <v>0</v>
      </c>
      <c r="D159" s="6"/>
      <c r="E159" s="6"/>
      <c r="F159" s="6"/>
      <c r="G159" s="18"/>
      <c r="H159" s="6"/>
      <c r="I159" s="6"/>
      <c r="J159" s="6"/>
      <c r="K159" s="6"/>
      <c r="L159" s="6"/>
      <c r="M159" s="6"/>
    </row>
    <row r="160" ht="20" customHeight="1" spans="1:13">
      <c r="A160" s="13"/>
      <c r="B160" s="28" t="s">
        <v>157</v>
      </c>
      <c r="C160" s="15" t="b">
        <v>1</v>
      </c>
      <c r="D160" s="6"/>
      <c r="E160" s="6"/>
      <c r="F160" s="6"/>
      <c r="G160" s="18"/>
      <c r="H160" s="6"/>
      <c r="I160" s="6"/>
      <c r="J160" s="6"/>
      <c r="K160" s="6"/>
      <c r="L160" s="6"/>
      <c r="M160" s="6"/>
    </row>
    <row r="161" ht="20" customHeight="1" spans="1:13">
      <c r="A161" s="13"/>
      <c r="B161" s="28" t="s">
        <v>158</v>
      </c>
      <c r="C161" s="15" t="b">
        <v>0</v>
      </c>
      <c r="D161" s="6"/>
      <c r="E161" s="6"/>
      <c r="F161" s="6"/>
      <c r="G161" s="18"/>
      <c r="H161" s="6"/>
      <c r="I161" s="6"/>
      <c r="J161" s="6"/>
      <c r="K161" s="6"/>
      <c r="L161" s="6"/>
      <c r="M161" s="6"/>
    </row>
    <row r="162" ht="20" customHeight="1" spans="1:13">
      <c r="A162" s="13"/>
      <c r="B162" s="19" t="s">
        <v>159</v>
      </c>
      <c r="C162" s="15" t="b">
        <v>0</v>
      </c>
      <c r="D162" s="6"/>
      <c r="E162" s="6"/>
      <c r="F162" s="6"/>
      <c r="G162" s="18"/>
      <c r="H162" s="6"/>
      <c r="I162" s="6"/>
      <c r="J162" s="6"/>
      <c r="K162" s="6"/>
      <c r="L162" s="6"/>
      <c r="M162" s="6"/>
    </row>
    <row r="163" ht="20" customHeight="1" spans="1:13">
      <c r="A163" s="13"/>
      <c r="B163" s="28" t="s">
        <v>160</v>
      </c>
      <c r="C163" s="15" t="b">
        <v>0</v>
      </c>
      <c r="D163" s="6"/>
      <c r="E163" s="6"/>
      <c r="F163" s="6"/>
      <c r="G163" s="18"/>
      <c r="H163" s="6"/>
      <c r="I163" s="6"/>
      <c r="J163" s="6"/>
      <c r="K163" s="6"/>
      <c r="L163" s="6"/>
      <c r="M163" s="6"/>
    </row>
    <row r="164" ht="20" customHeight="1" spans="1:13">
      <c r="A164" s="13"/>
      <c r="B164" s="28" t="s">
        <v>161</v>
      </c>
      <c r="C164" s="15" t="b">
        <v>0</v>
      </c>
      <c r="D164" s="6"/>
      <c r="E164" s="6"/>
      <c r="F164" s="6"/>
      <c r="G164" s="18"/>
      <c r="H164" s="6"/>
      <c r="I164" s="6"/>
      <c r="J164" s="6"/>
      <c r="K164" s="6"/>
      <c r="L164" s="6"/>
      <c r="M164" s="6"/>
    </row>
    <row r="165" ht="20" customHeight="1" spans="1:13">
      <c r="A165" s="13"/>
      <c r="B165" s="28" t="s">
        <v>162</v>
      </c>
      <c r="C165" s="15" t="b">
        <v>0</v>
      </c>
      <c r="D165" s="6"/>
      <c r="E165" s="6"/>
      <c r="F165" s="6"/>
      <c r="G165" s="18"/>
      <c r="H165" s="6"/>
      <c r="I165" s="6"/>
      <c r="J165" s="6"/>
      <c r="K165" s="6"/>
      <c r="L165" s="6"/>
      <c r="M165" s="6"/>
    </row>
    <row r="166" ht="20" customHeight="1" spans="1:13">
      <c r="A166" s="13"/>
      <c r="B166" s="19" t="s">
        <v>163</v>
      </c>
      <c r="C166" s="15" t="b">
        <v>0</v>
      </c>
      <c r="D166" s="6"/>
      <c r="E166" s="6"/>
      <c r="F166" s="6"/>
      <c r="G166" s="18"/>
      <c r="H166" s="6"/>
      <c r="I166" s="6"/>
      <c r="J166" s="6"/>
      <c r="K166" s="6"/>
      <c r="L166" s="6"/>
      <c r="M166" s="6"/>
    </row>
    <row r="167" ht="20" customHeight="1" spans="1:13">
      <c r="A167" s="13"/>
      <c r="B167" s="28" t="s">
        <v>164</v>
      </c>
      <c r="C167" s="15" t="b">
        <v>1</v>
      </c>
      <c r="D167" s="6"/>
      <c r="E167" s="6"/>
      <c r="F167" s="6"/>
      <c r="G167" s="18"/>
      <c r="H167" s="6"/>
      <c r="I167" s="6"/>
      <c r="J167" s="6"/>
      <c r="K167" s="6"/>
      <c r="L167" s="6"/>
      <c r="M167" s="6"/>
    </row>
    <row r="168" ht="20" customHeight="1" spans="1:13">
      <c r="A168" s="13"/>
      <c r="B168" s="28" t="s">
        <v>165</v>
      </c>
      <c r="C168" s="15" t="b">
        <v>0</v>
      </c>
      <c r="D168" s="6"/>
      <c r="E168" s="6"/>
      <c r="F168" s="6"/>
      <c r="G168" s="18"/>
      <c r="H168" s="6"/>
      <c r="I168" s="6"/>
      <c r="J168" s="6"/>
      <c r="K168" s="6"/>
      <c r="L168" s="6"/>
      <c r="M168" s="6"/>
    </row>
    <row r="169" ht="20" customHeight="1" spans="1:13">
      <c r="A169" s="13"/>
      <c r="B169" s="32" t="s">
        <v>166</v>
      </c>
      <c r="C169" s="15" t="b">
        <v>0</v>
      </c>
      <c r="D169" s="6"/>
      <c r="E169" s="6"/>
      <c r="F169" s="6"/>
      <c r="G169" s="18"/>
      <c r="H169" s="6"/>
      <c r="I169" s="6"/>
      <c r="J169" s="6"/>
      <c r="K169" s="6"/>
      <c r="L169" s="6"/>
      <c r="M169" s="6"/>
    </row>
    <row r="170" ht="20" customHeight="1" spans="1:13">
      <c r="A170" s="13"/>
      <c r="B170" s="32" t="s">
        <v>167</v>
      </c>
      <c r="C170" s="15" t="b">
        <v>0</v>
      </c>
      <c r="D170" s="6"/>
      <c r="E170" s="6"/>
      <c r="F170" s="6"/>
      <c r="G170" s="18"/>
      <c r="H170" s="6"/>
      <c r="I170" s="6"/>
      <c r="J170" s="6"/>
      <c r="K170" s="6"/>
      <c r="L170" s="6"/>
      <c r="M170" s="6"/>
    </row>
    <row r="171" ht="20" customHeight="1" spans="1:13">
      <c r="A171" s="13"/>
      <c r="B171" s="17" t="s">
        <v>168</v>
      </c>
      <c r="C171" s="15" t="b">
        <v>0</v>
      </c>
      <c r="D171" s="6"/>
      <c r="E171" s="6"/>
      <c r="F171" s="6"/>
      <c r="G171" s="18"/>
      <c r="H171" s="6"/>
      <c r="I171" s="6"/>
      <c r="J171" s="6"/>
      <c r="K171" s="6"/>
      <c r="L171" s="6"/>
      <c r="M171" s="6"/>
    </row>
    <row r="172" ht="20" customHeight="1" spans="1:13">
      <c r="A172" s="13"/>
      <c r="B172" s="20" t="s">
        <v>169</v>
      </c>
      <c r="C172" s="15" t="b">
        <v>0</v>
      </c>
      <c r="D172" s="6"/>
      <c r="E172" s="6"/>
      <c r="F172" s="6"/>
      <c r="G172" s="18"/>
      <c r="H172" s="6"/>
      <c r="I172" s="6"/>
      <c r="J172" s="6"/>
      <c r="K172" s="6"/>
      <c r="L172" s="6"/>
      <c r="M172" s="6"/>
    </row>
    <row r="173" ht="20" customHeight="1" spans="1:13">
      <c r="A173" s="13"/>
      <c r="B173" s="20" t="s">
        <v>170</v>
      </c>
      <c r="C173" s="15" t="b">
        <v>0</v>
      </c>
      <c r="D173" s="6"/>
      <c r="E173" s="6"/>
      <c r="F173" s="6"/>
      <c r="G173" s="18"/>
      <c r="H173" s="6"/>
      <c r="I173" s="6"/>
      <c r="J173" s="6"/>
      <c r="K173" s="6"/>
      <c r="L173" s="6"/>
      <c r="M173" s="6"/>
    </row>
    <row r="174" ht="20" customHeight="1" spans="1:13">
      <c r="A174" s="13"/>
      <c r="B174" s="17" t="s">
        <v>171</v>
      </c>
      <c r="C174" s="15" t="b">
        <v>0</v>
      </c>
      <c r="D174" s="6"/>
      <c r="E174" s="6"/>
      <c r="F174" s="6"/>
      <c r="G174" s="18"/>
      <c r="H174" s="6"/>
      <c r="I174" s="6"/>
      <c r="J174" s="6"/>
      <c r="K174" s="6"/>
      <c r="L174" s="6"/>
      <c r="M174" s="6"/>
    </row>
    <row r="175" ht="20" customHeight="1" spans="1:13">
      <c r="A175" s="13"/>
      <c r="B175" s="20" t="s">
        <v>172</v>
      </c>
      <c r="C175" s="15" t="b">
        <v>0</v>
      </c>
      <c r="D175" s="6"/>
      <c r="E175" s="6"/>
      <c r="F175" s="6"/>
      <c r="G175" s="18"/>
      <c r="H175" s="6"/>
      <c r="I175" s="6"/>
      <c r="J175" s="6"/>
      <c r="K175" s="6"/>
      <c r="L175" s="6"/>
      <c r="M175" s="6"/>
    </row>
    <row r="176" ht="20" customHeight="1" spans="1:13">
      <c r="A176" s="13"/>
      <c r="B176" s="20" t="s">
        <v>173</v>
      </c>
      <c r="C176" s="15" t="b">
        <v>0</v>
      </c>
      <c r="D176" s="6"/>
      <c r="E176" s="6"/>
      <c r="F176" s="6"/>
      <c r="G176" s="18"/>
      <c r="H176" s="6"/>
      <c r="I176" s="6"/>
      <c r="J176" s="6"/>
      <c r="K176" s="6"/>
      <c r="L176" s="6"/>
      <c r="M176" s="6"/>
    </row>
    <row r="177" ht="20" customHeight="1" spans="1:13">
      <c r="A177" s="13"/>
      <c r="B177" s="20" t="s">
        <v>174</v>
      </c>
      <c r="C177" s="15" t="b">
        <v>0</v>
      </c>
      <c r="D177" s="6"/>
      <c r="E177" s="6"/>
      <c r="F177" s="6"/>
      <c r="G177" s="18"/>
      <c r="H177" s="6"/>
      <c r="I177" s="6"/>
      <c r="J177" s="6"/>
      <c r="K177" s="6"/>
      <c r="L177" s="6"/>
      <c r="M177" s="6"/>
    </row>
    <row r="178" ht="20" customHeight="1" spans="1:13">
      <c r="A178" s="13"/>
      <c r="B178" s="20" t="s">
        <v>175</v>
      </c>
      <c r="C178" s="15" t="b">
        <v>0</v>
      </c>
      <c r="D178" s="6"/>
      <c r="E178" s="6"/>
      <c r="F178" s="6"/>
      <c r="G178" s="18"/>
      <c r="H178" s="6"/>
      <c r="I178" s="6"/>
      <c r="J178" s="6"/>
      <c r="K178" s="6"/>
      <c r="L178" s="6"/>
      <c r="M178" s="6"/>
    </row>
    <row r="179" ht="20" customHeight="1" spans="1:13">
      <c r="A179" s="13"/>
      <c r="B179" s="20" t="s">
        <v>176</v>
      </c>
      <c r="C179" s="15" t="b">
        <v>0</v>
      </c>
      <c r="D179" s="6"/>
      <c r="E179" s="6"/>
      <c r="F179" s="6"/>
      <c r="G179" s="18"/>
      <c r="H179" s="6"/>
      <c r="I179" s="6"/>
      <c r="J179" s="6"/>
      <c r="K179" s="6"/>
      <c r="L179" s="6"/>
      <c r="M179" s="6"/>
    </row>
    <row r="180" ht="20" customHeight="1" spans="1:13">
      <c r="A180" s="13"/>
      <c r="B180" s="17" t="s">
        <v>177</v>
      </c>
      <c r="C180" s="15" t="b">
        <v>0</v>
      </c>
      <c r="D180" s="6"/>
      <c r="E180" s="6"/>
      <c r="F180" s="6"/>
      <c r="G180" s="18"/>
      <c r="H180" s="6"/>
      <c r="I180" s="6"/>
      <c r="J180" s="6"/>
      <c r="K180" s="6"/>
      <c r="L180" s="6"/>
      <c r="M180" s="6"/>
    </row>
    <row r="181" ht="20" customHeight="1" spans="1:13">
      <c r="A181" s="13"/>
      <c r="B181" s="20" t="s">
        <v>178</v>
      </c>
      <c r="C181" s="15" t="b">
        <v>0</v>
      </c>
      <c r="D181" s="6"/>
      <c r="E181" s="6"/>
      <c r="F181" s="6"/>
      <c r="G181" s="18"/>
      <c r="H181" s="6"/>
      <c r="I181" s="6"/>
      <c r="J181" s="6"/>
      <c r="K181" s="6"/>
      <c r="L181" s="6"/>
      <c r="M181" s="6"/>
    </row>
    <row r="182" ht="20" customHeight="1" spans="1:13">
      <c r="A182" s="13"/>
      <c r="B182" s="20" t="s">
        <v>179</v>
      </c>
      <c r="C182" s="15" t="b">
        <v>0</v>
      </c>
      <c r="D182" s="6"/>
      <c r="E182" s="6"/>
      <c r="F182" s="6"/>
      <c r="G182" s="18"/>
      <c r="H182" s="6"/>
      <c r="I182" s="6"/>
      <c r="J182" s="6"/>
      <c r="K182" s="6"/>
      <c r="L182" s="6"/>
      <c r="M182" s="6"/>
    </row>
    <row r="183" ht="20" customHeight="1" spans="1:13">
      <c r="A183" s="13"/>
      <c r="B183" s="20" t="s">
        <v>180</v>
      </c>
      <c r="C183" s="15" t="b">
        <v>0</v>
      </c>
      <c r="D183" s="6"/>
      <c r="E183" s="6"/>
      <c r="F183" s="6"/>
      <c r="G183" s="18"/>
      <c r="H183" s="6"/>
      <c r="I183" s="6"/>
      <c r="J183" s="6"/>
      <c r="K183" s="6"/>
      <c r="L183" s="6"/>
      <c r="M183" s="6"/>
    </row>
    <row r="184" ht="20" customHeight="1" spans="1:13">
      <c r="A184" s="13"/>
      <c r="B184" s="17" t="s">
        <v>181</v>
      </c>
      <c r="C184" s="15" t="b">
        <v>0</v>
      </c>
      <c r="D184" s="6"/>
      <c r="E184" s="6"/>
      <c r="F184" s="6"/>
      <c r="G184" s="18"/>
      <c r="H184" s="6"/>
      <c r="I184" s="6"/>
      <c r="J184" s="6"/>
      <c r="K184" s="6"/>
      <c r="L184" s="6"/>
      <c r="M184" s="6"/>
    </row>
    <row r="185" ht="20" customHeight="1" spans="1:13">
      <c r="A185" s="13"/>
      <c r="B185" s="20" t="s">
        <v>182</v>
      </c>
      <c r="C185" s="15" t="b">
        <v>0</v>
      </c>
      <c r="D185" s="6"/>
      <c r="E185" s="6"/>
      <c r="F185" s="6"/>
      <c r="G185" s="18"/>
      <c r="H185" s="6"/>
      <c r="I185" s="6"/>
      <c r="J185" s="6"/>
      <c r="K185" s="6"/>
      <c r="L185" s="6"/>
      <c r="M185" s="6"/>
    </row>
    <row r="186" ht="20" customHeight="1" spans="1:13">
      <c r="A186" s="13"/>
      <c r="B186" s="32" t="s">
        <v>183</v>
      </c>
      <c r="C186" s="15" t="b">
        <v>0</v>
      </c>
      <c r="D186" s="6"/>
      <c r="E186" s="6"/>
      <c r="F186" s="6"/>
      <c r="G186" s="18"/>
      <c r="H186" s="6"/>
      <c r="I186" s="6"/>
      <c r="J186" s="6"/>
      <c r="K186" s="6"/>
      <c r="L186" s="6"/>
      <c r="M186" s="6"/>
    </row>
    <row r="187" ht="20" customHeight="1" spans="1:13">
      <c r="A187" s="13"/>
      <c r="B187" s="32" t="s">
        <v>184</v>
      </c>
      <c r="C187" s="15" t="b">
        <v>0</v>
      </c>
      <c r="D187" s="6"/>
      <c r="E187" s="6"/>
      <c r="F187" s="6"/>
      <c r="G187" s="18"/>
      <c r="H187" s="6"/>
      <c r="I187" s="6"/>
      <c r="J187" s="6"/>
      <c r="K187" s="6"/>
      <c r="L187" s="6"/>
      <c r="M187" s="6"/>
    </row>
    <row r="188" ht="20" customHeight="1" spans="1:13">
      <c r="A188" s="13"/>
      <c r="B188" s="20" t="s">
        <v>185</v>
      </c>
      <c r="C188" s="15" t="b">
        <v>0</v>
      </c>
      <c r="D188" s="6"/>
      <c r="E188" s="6"/>
      <c r="F188" s="6"/>
      <c r="G188" s="18"/>
      <c r="H188" s="6"/>
      <c r="I188" s="6"/>
      <c r="J188" s="6"/>
      <c r="K188" s="6"/>
      <c r="L188" s="6"/>
      <c r="M188" s="6"/>
    </row>
    <row r="189" ht="20" customHeight="1" spans="1:13">
      <c r="A189" s="13"/>
      <c r="B189" s="20" t="s">
        <v>186</v>
      </c>
      <c r="C189" s="15" t="b">
        <v>0</v>
      </c>
      <c r="D189" s="6"/>
      <c r="E189" s="6"/>
      <c r="F189" s="6"/>
      <c r="G189" s="18"/>
      <c r="H189" s="6"/>
      <c r="I189" s="6"/>
      <c r="J189" s="6"/>
      <c r="K189" s="6"/>
      <c r="L189" s="6"/>
      <c r="M189" s="6"/>
    </row>
    <row r="190" ht="20" customHeight="1" spans="1:13">
      <c r="A190" s="13"/>
      <c r="B190" s="17" t="s">
        <v>187</v>
      </c>
      <c r="C190" s="15" t="b">
        <v>0</v>
      </c>
      <c r="D190" s="6"/>
      <c r="E190" s="6"/>
      <c r="F190" s="6"/>
      <c r="G190" s="18"/>
      <c r="H190" s="6"/>
      <c r="I190" s="6"/>
      <c r="J190" s="6"/>
      <c r="K190" s="6"/>
      <c r="L190" s="6"/>
      <c r="M190" s="6"/>
    </row>
    <row r="191" ht="20" customHeight="1" spans="1:13">
      <c r="A191" s="13"/>
      <c r="B191" s="17" t="s">
        <v>188</v>
      </c>
      <c r="C191" s="15" t="b">
        <v>0</v>
      </c>
      <c r="D191" s="6"/>
      <c r="E191" s="6"/>
      <c r="F191" s="6"/>
      <c r="G191" s="18"/>
      <c r="H191" s="6"/>
      <c r="I191" s="6"/>
      <c r="J191" s="6"/>
      <c r="K191" s="6"/>
      <c r="L191" s="6"/>
      <c r="M191" s="6"/>
    </row>
    <row r="192" ht="20" customHeight="1" spans="1:13">
      <c r="A192" s="13"/>
      <c r="B192" s="27" t="s">
        <v>189</v>
      </c>
      <c r="C192" s="24" t="b">
        <v>0</v>
      </c>
      <c r="D192" s="12"/>
      <c r="E192" s="12"/>
      <c r="F192" s="12"/>
      <c r="G192" s="25"/>
      <c r="H192" s="6"/>
      <c r="I192" s="6"/>
      <c r="J192" s="6"/>
      <c r="K192" s="6"/>
      <c r="L192" s="6"/>
      <c r="M192" s="6"/>
    </row>
    <row r="193" ht="20" customHeight="1" spans="1:13">
      <c r="A193" s="13"/>
      <c r="B193" s="33" t="s">
        <v>190</v>
      </c>
      <c r="C193" s="15" t="b">
        <v>0</v>
      </c>
      <c r="D193" s="6"/>
      <c r="E193" s="6"/>
      <c r="F193" s="6"/>
      <c r="G193" s="18"/>
      <c r="H193" s="6"/>
      <c r="I193" s="6"/>
      <c r="J193" s="6"/>
      <c r="K193" s="6"/>
      <c r="L193" s="6"/>
      <c r="M193" s="6"/>
    </row>
    <row r="194" ht="20" customHeight="1" spans="1:13">
      <c r="A194" s="13"/>
      <c r="B194" s="17" t="s">
        <v>191</v>
      </c>
      <c r="C194" s="15" t="b">
        <v>0</v>
      </c>
      <c r="D194" s="6"/>
      <c r="E194" s="6"/>
      <c r="F194" s="6"/>
      <c r="G194" s="18"/>
      <c r="H194" s="6"/>
      <c r="I194" s="6"/>
      <c r="J194" s="6"/>
      <c r="K194" s="6"/>
      <c r="L194" s="6"/>
      <c r="M194" s="6"/>
    </row>
    <row r="195" ht="20" customHeight="1" spans="1:13">
      <c r="A195" s="13"/>
      <c r="B195" s="20" t="s">
        <v>192</v>
      </c>
      <c r="C195" s="15" t="b">
        <v>1</v>
      </c>
      <c r="D195" s="6"/>
      <c r="E195" s="6"/>
      <c r="F195" s="6"/>
      <c r="G195" s="18"/>
      <c r="H195" s="6"/>
      <c r="I195" s="6"/>
      <c r="J195" s="6"/>
      <c r="K195" s="6"/>
      <c r="L195" s="6"/>
      <c r="M195" s="6"/>
    </row>
    <row r="196" ht="20" customHeight="1" spans="1:13">
      <c r="A196" s="13"/>
      <c r="B196" s="20" t="s">
        <v>193</v>
      </c>
      <c r="C196" s="15" t="b">
        <v>0</v>
      </c>
      <c r="D196" s="6"/>
      <c r="E196" s="6"/>
      <c r="F196" s="6"/>
      <c r="G196" s="18"/>
      <c r="H196" s="6"/>
      <c r="I196" s="6"/>
      <c r="J196" s="6"/>
      <c r="K196" s="6"/>
      <c r="L196" s="6"/>
      <c r="M196" s="6"/>
    </row>
    <row r="197" ht="20" customHeight="1" spans="1:13">
      <c r="A197" s="13"/>
      <c r="B197" s="20" t="s">
        <v>194</v>
      </c>
      <c r="C197" s="15" t="b">
        <v>1</v>
      </c>
      <c r="D197" s="6"/>
      <c r="E197" s="21" t="s">
        <v>10</v>
      </c>
      <c r="F197" s="21">
        <v>29</v>
      </c>
      <c r="G197" s="18"/>
      <c r="H197" s="6"/>
      <c r="I197" s="6"/>
      <c r="J197" s="6"/>
      <c r="K197" s="6"/>
      <c r="L197" s="6"/>
      <c r="M197" s="6"/>
    </row>
    <row r="198" ht="20" customHeight="1" spans="1:13">
      <c r="A198" s="13"/>
      <c r="B198" s="20" t="s">
        <v>195</v>
      </c>
      <c r="C198" s="15" t="b">
        <v>0</v>
      </c>
      <c r="D198" s="6"/>
      <c r="E198" s="21" t="s">
        <v>12</v>
      </c>
      <c r="F198" s="21">
        <f>COUNTIF(C193:C221,TRUE)</f>
        <v>3</v>
      </c>
      <c r="G198" s="18"/>
      <c r="H198" s="6"/>
      <c r="I198" s="6"/>
      <c r="J198" s="6"/>
      <c r="K198" s="6"/>
      <c r="L198" s="6"/>
      <c r="M198" s="6"/>
    </row>
    <row r="199" ht="20" customHeight="1" spans="1:13">
      <c r="A199" s="13"/>
      <c r="B199" s="20" t="s">
        <v>196</v>
      </c>
      <c r="C199" s="15" t="b">
        <v>1</v>
      </c>
      <c r="D199" s="6"/>
      <c r="E199" s="21" t="s">
        <v>14</v>
      </c>
      <c r="F199" s="21">
        <f>F197-F198</f>
        <v>26</v>
      </c>
      <c r="G199" s="18"/>
      <c r="H199" s="6"/>
      <c r="I199" s="6"/>
      <c r="J199" s="6"/>
      <c r="K199" s="6"/>
      <c r="L199" s="6"/>
      <c r="M199" s="6"/>
    </row>
    <row r="200" ht="20" customHeight="1" spans="1:13">
      <c r="A200" s="13"/>
      <c r="B200" s="17" t="s">
        <v>197</v>
      </c>
      <c r="C200" s="15" t="b">
        <v>0</v>
      </c>
      <c r="D200" s="6"/>
      <c r="E200" s="21" t="s">
        <v>16</v>
      </c>
      <c r="F200" s="22">
        <f>F198/F197</f>
        <v>0.103448275862069</v>
      </c>
      <c r="G200" s="18"/>
      <c r="H200" s="6"/>
      <c r="I200" s="6"/>
      <c r="J200" s="6"/>
      <c r="K200" s="6"/>
      <c r="L200" s="6"/>
      <c r="M200" s="6"/>
    </row>
    <row r="201" ht="20" customHeight="1" spans="1:13">
      <c r="A201" s="13"/>
      <c r="B201" s="20" t="s">
        <v>198</v>
      </c>
      <c r="C201" s="15" t="b">
        <v>0</v>
      </c>
      <c r="D201" s="6"/>
      <c r="E201" s="6"/>
      <c r="F201" s="6"/>
      <c r="G201" s="18"/>
      <c r="H201" s="6"/>
      <c r="I201" s="6"/>
      <c r="J201" s="6"/>
      <c r="K201" s="6"/>
      <c r="L201" s="6"/>
      <c r="M201" s="6"/>
    </row>
    <row r="202" ht="20" customHeight="1" spans="1:13">
      <c r="A202" s="13"/>
      <c r="B202" s="20" t="s">
        <v>199</v>
      </c>
      <c r="C202" s="15" t="b">
        <v>0</v>
      </c>
      <c r="D202" s="6"/>
      <c r="E202" s="6"/>
      <c r="F202" s="6"/>
      <c r="G202" s="18"/>
      <c r="H202" s="6"/>
      <c r="I202" s="6"/>
      <c r="J202" s="6"/>
      <c r="K202" s="6"/>
      <c r="L202" s="6"/>
      <c r="M202" s="6"/>
    </row>
    <row r="203" ht="20" customHeight="1" spans="1:13">
      <c r="A203" s="13"/>
      <c r="B203" s="20" t="s">
        <v>200</v>
      </c>
      <c r="C203" s="15" t="b">
        <v>0</v>
      </c>
      <c r="D203" s="6"/>
      <c r="E203" s="6"/>
      <c r="F203" s="6"/>
      <c r="G203" s="18"/>
      <c r="H203" s="6"/>
      <c r="I203" s="6"/>
      <c r="J203" s="6"/>
      <c r="K203" s="6"/>
      <c r="L203" s="6"/>
      <c r="M203" s="6"/>
    </row>
    <row r="204" ht="20" customHeight="1" spans="1:13">
      <c r="A204" s="13"/>
      <c r="B204" s="20" t="s">
        <v>201</v>
      </c>
      <c r="C204" s="15" t="b">
        <v>0</v>
      </c>
      <c r="D204" s="6"/>
      <c r="E204" s="6"/>
      <c r="F204" s="6"/>
      <c r="G204" s="18"/>
      <c r="H204" s="6"/>
      <c r="I204" s="6"/>
      <c r="J204" s="6"/>
      <c r="K204" s="6"/>
      <c r="L204" s="6"/>
      <c r="M204" s="6"/>
    </row>
    <row r="205" ht="20" customHeight="1" spans="1:13">
      <c r="A205" s="13"/>
      <c r="B205" s="20" t="s">
        <v>202</v>
      </c>
      <c r="C205" s="15" t="b">
        <v>0</v>
      </c>
      <c r="D205" s="6"/>
      <c r="E205" s="6"/>
      <c r="F205" s="6"/>
      <c r="G205" s="18"/>
      <c r="H205" s="6"/>
      <c r="I205" s="6"/>
      <c r="J205" s="6"/>
      <c r="K205" s="6"/>
      <c r="L205" s="6"/>
      <c r="M205" s="6"/>
    </row>
    <row r="206" ht="20" customHeight="1" spans="1:13">
      <c r="A206" s="13"/>
      <c r="B206" s="20" t="s">
        <v>203</v>
      </c>
      <c r="C206" s="15" t="b">
        <v>0</v>
      </c>
      <c r="D206" s="6"/>
      <c r="E206" s="6"/>
      <c r="F206" s="6"/>
      <c r="G206" s="18"/>
      <c r="H206" s="6"/>
      <c r="I206" s="6"/>
      <c r="J206" s="6"/>
      <c r="K206" s="6"/>
      <c r="L206" s="6"/>
      <c r="M206" s="6"/>
    </row>
    <row r="207" ht="20" customHeight="1" spans="1:13">
      <c r="A207" s="13"/>
      <c r="B207" s="17" t="s">
        <v>204</v>
      </c>
      <c r="C207" s="15" t="b">
        <v>0</v>
      </c>
      <c r="D207" s="6"/>
      <c r="E207" s="6"/>
      <c r="F207" s="6"/>
      <c r="G207" s="18"/>
      <c r="H207" s="6"/>
      <c r="I207" s="6"/>
      <c r="J207" s="6"/>
      <c r="K207" s="6"/>
      <c r="L207" s="6"/>
      <c r="M207" s="6"/>
    </row>
    <row r="208" ht="20" customHeight="1" spans="1:13">
      <c r="A208" s="13"/>
      <c r="B208" s="20" t="s">
        <v>205</v>
      </c>
      <c r="C208" s="15" t="b">
        <v>0</v>
      </c>
      <c r="D208" s="6"/>
      <c r="E208" s="6"/>
      <c r="F208" s="6"/>
      <c r="G208" s="18"/>
      <c r="H208" s="6"/>
      <c r="I208" s="6"/>
      <c r="J208" s="6"/>
      <c r="K208" s="6"/>
      <c r="L208" s="6"/>
      <c r="M208" s="6"/>
    </row>
    <row r="209" ht="20" customHeight="1" spans="1:13">
      <c r="A209" s="13"/>
      <c r="B209" s="20" t="s">
        <v>206</v>
      </c>
      <c r="C209" s="15" t="b">
        <v>0</v>
      </c>
      <c r="D209" s="6"/>
      <c r="E209" s="6"/>
      <c r="F209" s="6"/>
      <c r="G209" s="18"/>
      <c r="H209" s="6"/>
      <c r="I209" s="6"/>
      <c r="J209" s="6"/>
      <c r="K209" s="6"/>
      <c r="L209" s="6"/>
      <c r="M209" s="6"/>
    </row>
    <row r="210" ht="20" customHeight="1" spans="1:13">
      <c r="A210" s="13"/>
      <c r="B210" s="20" t="s">
        <v>207</v>
      </c>
      <c r="C210" s="15" t="b">
        <v>0</v>
      </c>
      <c r="D210" s="6"/>
      <c r="E210" s="6"/>
      <c r="F210" s="6"/>
      <c r="G210" s="18"/>
      <c r="H210" s="6"/>
      <c r="I210" s="6"/>
      <c r="J210" s="6"/>
      <c r="K210" s="6"/>
      <c r="L210" s="6"/>
      <c r="M210" s="6"/>
    </row>
    <row r="211" ht="20" customHeight="1" spans="1:13">
      <c r="A211" s="13"/>
      <c r="B211" s="34" t="s">
        <v>208</v>
      </c>
      <c r="C211" s="15" t="b">
        <v>0</v>
      </c>
      <c r="D211" s="6"/>
      <c r="E211" s="6"/>
      <c r="F211" s="6"/>
      <c r="G211" s="18"/>
      <c r="H211" s="6"/>
      <c r="I211" s="6"/>
      <c r="J211" s="6"/>
      <c r="K211" s="6"/>
      <c r="L211" s="6"/>
      <c r="M211" s="6"/>
    </row>
    <row r="212" ht="20" customHeight="1" spans="1:13">
      <c r="A212" s="13"/>
      <c r="B212" s="17" t="s">
        <v>209</v>
      </c>
      <c r="C212" s="15" t="b">
        <v>0</v>
      </c>
      <c r="D212" s="6"/>
      <c r="E212" s="6"/>
      <c r="F212" s="6"/>
      <c r="G212" s="18"/>
      <c r="H212" s="6"/>
      <c r="I212" s="6"/>
      <c r="J212" s="6"/>
      <c r="K212" s="6"/>
      <c r="L212" s="6"/>
      <c r="M212" s="6"/>
    </row>
    <row r="213" ht="20" customHeight="1" spans="1:13">
      <c r="A213" s="13"/>
      <c r="B213" s="20" t="s">
        <v>210</v>
      </c>
      <c r="C213" s="15" t="b">
        <v>0</v>
      </c>
      <c r="D213" s="6"/>
      <c r="E213" s="6"/>
      <c r="F213" s="6"/>
      <c r="G213" s="18"/>
      <c r="H213" s="6"/>
      <c r="I213" s="6"/>
      <c r="J213" s="6"/>
      <c r="K213" s="6"/>
      <c r="L213" s="6"/>
      <c r="M213" s="6"/>
    </row>
    <row r="214" ht="20" customHeight="1" spans="1:13">
      <c r="A214" s="13"/>
      <c r="B214" s="20" t="s">
        <v>211</v>
      </c>
      <c r="C214" s="15" t="b">
        <v>0</v>
      </c>
      <c r="D214" s="6"/>
      <c r="E214" s="6"/>
      <c r="F214" s="6"/>
      <c r="G214" s="18"/>
      <c r="H214" s="6"/>
      <c r="I214" s="6"/>
      <c r="J214" s="6"/>
      <c r="K214" s="6"/>
      <c r="L214" s="6"/>
      <c r="M214" s="6"/>
    </row>
    <row r="215" ht="20" customHeight="1" spans="1:13">
      <c r="A215" s="13"/>
      <c r="B215" s="20" t="s">
        <v>212</v>
      </c>
      <c r="C215" s="15" t="b">
        <v>0</v>
      </c>
      <c r="D215" s="6"/>
      <c r="E215" s="6"/>
      <c r="F215" s="6"/>
      <c r="G215" s="18"/>
      <c r="H215" s="6"/>
      <c r="I215" s="6"/>
      <c r="J215" s="6"/>
      <c r="K215" s="6"/>
      <c r="L215" s="6"/>
      <c r="M215" s="6"/>
    </row>
    <row r="216" ht="20" customHeight="1" spans="1:13">
      <c r="A216" s="13"/>
      <c r="B216" s="20" t="s">
        <v>213</v>
      </c>
      <c r="C216" s="15" t="b">
        <v>0</v>
      </c>
      <c r="D216" s="6"/>
      <c r="E216" s="6"/>
      <c r="F216" s="6"/>
      <c r="G216" s="18"/>
      <c r="H216" s="6"/>
      <c r="I216" s="6"/>
      <c r="J216" s="6"/>
      <c r="K216" s="6"/>
      <c r="L216" s="6"/>
      <c r="M216" s="6"/>
    </row>
    <row r="217" ht="20" customHeight="1" spans="1:13">
      <c r="A217" s="13"/>
      <c r="B217" s="17" t="s">
        <v>214</v>
      </c>
      <c r="C217" s="15" t="b">
        <v>0</v>
      </c>
      <c r="D217" s="6"/>
      <c r="E217" s="6"/>
      <c r="F217" s="6"/>
      <c r="G217" s="18"/>
      <c r="H217" s="6"/>
      <c r="I217" s="6"/>
      <c r="J217" s="6"/>
      <c r="K217" s="6"/>
      <c r="L217" s="6"/>
      <c r="M217" s="6"/>
    </row>
    <row r="218" ht="20" customHeight="1" spans="1:13">
      <c r="A218" s="13"/>
      <c r="B218" s="20" t="s">
        <v>215</v>
      </c>
      <c r="C218" s="15" t="b">
        <v>0</v>
      </c>
      <c r="D218" s="6"/>
      <c r="E218" s="6"/>
      <c r="F218" s="6"/>
      <c r="G218" s="18"/>
      <c r="H218" s="6"/>
      <c r="I218" s="6"/>
      <c r="J218" s="6"/>
      <c r="K218" s="6"/>
      <c r="L218" s="6"/>
      <c r="M218" s="6"/>
    </row>
    <row r="219" ht="20" customHeight="1" spans="1:13">
      <c r="A219" s="13"/>
      <c r="B219" s="20" t="s">
        <v>216</v>
      </c>
      <c r="C219" s="15" t="b">
        <v>0</v>
      </c>
      <c r="D219" s="6"/>
      <c r="E219" s="6"/>
      <c r="F219" s="6"/>
      <c r="G219" s="18"/>
      <c r="H219" s="6"/>
      <c r="I219" s="6"/>
      <c r="J219" s="6"/>
      <c r="K219" s="6"/>
      <c r="L219" s="6"/>
      <c r="M219" s="6"/>
    </row>
    <row r="220" ht="20" customHeight="1" spans="1:13">
      <c r="A220" s="13"/>
      <c r="B220" s="20" t="s">
        <v>217</v>
      </c>
      <c r="C220" s="15" t="b">
        <v>0</v>
      </c>
      <c r="D220" s="6"/>
      <c r="E220" s="6"/>
      <c r="F220" s="6"/>
      <c r="G220" s="18"/>
      <c r="H220" s="6"/>
      <c r="I220" s="6"/>
      <c r="J220" s="6"/>
      <c r="K220" s="6"/>
      <c r="L220" s="6"/>
      <c r="M220" s="6"/>
    </row>
    <row r="221" ht="20" customHeight="1" spans="1:13">
      <c r="A221" s="13"/>
      <c r="B221" s="23" t="s">
        <v>218</v>
      </c>
      <c r="C221" s="24" t="b">
        <v>0</v>
      </c>
      <c r="D221" s="12"/>
      <c r="E221" s="12"/>
      <c r="F221" s="12"/>
      <c r="G221" s="25"/>
      <c r="H221" s="6"/>
      <c r="I221" s="6"/>
      <c r="J221" s="6"/>
      <c r="K221" s="6"/>
      <c r="L221" s="6"/>
      <c r="M221" s="6"/>
    </row>
    <row r="222" ht="20" customHeight="1" spans="1:13">
      <c r="A222" s="13"/>
      <c r="B222" s="33" t="s">
        <v>219</v>
      </c>
      <c r="C222" s="15" t="b">
        <v>0</v>
      </c>
      <c r="D222" s="6"/>
      <c r="E222" s="6"/>
      <c r="F222" s="6"/>
      <c r="G222" s="18"/>
      <c r="H222" s="6"/>
      <c r="I222" s="6"/>
      <c r="J222" s="6"/>
      <c r="K222" s="6"/>
      <c r="L222" s="6"/>
      <c r="M222" s="6"/>
    </row>
    <row r="223" ht="20" customHeight="1" spans="1:13">
      <c r="A223" s="13"/>
      <c r="B223" s="17" t="s">
        <v>220</v>
      </c>
      <c r="C223" s="15" t="b">
        <v>1</v>
      </c>
      <c r="D223" s="6"/>
      <c r="E223" s="6"/>
      <c r="F223" s="6"/>
      <c r="G223" s="18"/>
      <c r="H223" s="6"/>
      <c r="I223" s="6"/>
      <c r="J223" s="6"/>
      <c r="K223" s="6"/>
      <c r="L223" s="6"/>
      <c r="M223" s="6"/>
    </row>
    <row r="224" ht="20" customHeight="1" spans="1:13">
      <c r="A224" s="13"/>
      <c r="B224" s="17" t="s">
        <v>221</v>
      </c>
      <c r="C224" s="15" t="b">
        <v>1</v>
      </c>
      <c r="D224" s="6"/>
      <c r="E224" s="6"/>
      <c r="F224" s="6"/>
      <c r="G224" s="18"/>
      <c r="H224" s="6"/>
      <c r="I224" s="6"/>
      <c r="J224" s="6"/>
      <c r="K224" s="6"/>
      <c r="L224" s="6"/>
      <c r="M224" s="6"/>
    </row>
    <row r="225" ht="20" customHeight="1" spans="1:13">
      <c r="A225" s="13"/>
      <c r="B225" s="20" t="s">
        <v>222</v>
      </c>
      <c r="C225" s="15" t="b">
        <v>1</v>
      </c>
      <c r="D225" s="6"/>
      <c r="E225" s="21" t="s">
        <v>10</v>
      </c>
      <c r="F225" s="21">
        <v>30</v>
      </c>
      <c r="G225" s="18"/>
      <c r="H225" s="6"/>
      <c r="I225" s="6"/>
      <c r="J225" s="6"/>
      <c r="K225" s="6"/>
      <c r="L225" s="6"/>
      <c r="M225" s="6"/>
    </row>
    <row r="226" ht="20" customHeight="1" spans="1:13">
      <c r="A226" s="13"/>
      <c r="B226" s="32" t="s">
        <v>223</v>
      </c>
      <c r="C226" s="15" t="b">
        <v>0</v>
      </c>
      <c r="D226" s="6"/>
      <c r="E226" s="21" t="s">
        <v>12</v>
      </c>
      <c r="F226" s="21">
        <f>COUNTIF(C222:C251,TRUE)</f>
        <v>4</v>
      </c>
      <c r="G226" s="18"/>
      <c r="H226" s="6"/>
      <c r="I226" s="6"/>
      <c r="J226" s="6"/>
      <c r="K226" s="6"/>
      <c r="L226" s="6"/>
      <c r="M226" s="6"/>
    </row>
    <row r="227" ht="20" customHeight="1" spans="1:13">
      <c r="A227" s="13"/>
      <c r="B227" s="32" t="s">
        <v>224</v>
      </c>
      <c r="C227" s="15" t="b">
        <v>0</v>
      </c>
      <c r="D227" s="6"/>
      <c r="E227" s="21" t="s">
        <v>14</v>
      </c>
      <c r="F227" s="21">
        <f>F225-F226</f>
        <v>26</v>
      </c>
      <c r="G227" s="18"/>
      <c r="H227" s="6"/>
      <c r="I227" s="6"/>
      <c r="J227" s="6"/>
      <c r="K227" s="6"/>
      <c r="L227" s="6"/>
      <c r="M227" s="6"/>
    </row>
    <row r="228" ht="20" customHeight="1" spans="1:13">
      <c r="A228" s="13"/>
      <c r="B228" s="20" t="s">
        <v>225</v>
      </c>
      <c r="C228" s="15" t="b">
        <v>0</v>
      </c>
      <c r="D228" s="6"/>
      <c r="E228" s="21" t="s">
        <v>16</v>
      </c>
      <c r="F228" s="22">
        <f>F226/F225</f>
        <v>0.133333333333333</v>
      </c>
      <c r="G228" s="18"/>
      <c r="H228" s="6"/>
      <c r="I228" s="6"/>
      <c r="J228" s="6"/>
      <c r="K228" s="6"/>
      <c r="L228" s="6"/>
      <c r="M228" s="6"/>
    </row>
    <row r="229" ht="20" customHeight="1" spans="1:13">
      <c r="A229" s="13"/>
      <c r="B229" s="32" t="s">
        <v>226</v>
      </c>
      <c r="C229" s="15" t="b">
        <v>0</v>
      </c>
      <c r="D229" s="6"/>
      <c r="E229" s="6"/>
      <c r="F229" s="6"/>
      <c r="G229" s="18"/>
      <c r="H229" s="6"/>
      <c r="I229" s="6"/>
      <c r="J229" s="6"/>
      <c r="K229" s="6"/>
      <c r="L229" s="6"/>
      <c r="M229" s="6"/>
    </row>
    <row r="230" spans="1:13">
      <c r="A230" s="13"/>
      <c r="B230" s="32" t="s">
        <v>227</v>
      </c>
      <c r="C230" s="35" t="b">
        <v>1</v>
      </c>
      <c r="G230" s="36"/>
    </row>
    <row r="231" spans="1:13">
      <c r="A231" s="13"/>
      <c r="B231" s="32" t="s">
        <v>228</v>
      </c>
      <c r="C231" s="35" t="b">
        <v>0</v>
      </c>
      <c r="G231" s="36"/>
    </row>
    <row r="232" spans="1:13">
      <c r="A232" s="13"/>
      <c r="B232" s="37" t="s">
        <v>229</v>
      </c>
      <c r="C232" s="35" t="b">
        <v>0</v>
      </c>
      <c r="G232" s="36"/>
    </row>
    <row r="233" spans="1:13">
      <c r="A233" s="13"/>
      <c r="B233" s="38" t="s">
        <v>230</v>
      </c>
      <c r="C233" s="35" t="b">
        <v>0</v>
      </c>
      <c r="G233" s="36"/>
    </row>
    <row r="234" spans="1:13">
      <c r="A234" s="13"/>
      <c r="B234" s="38" t="s">
        <v>231</v>
      </c>
      <c r="C234" s="35" t="b">
        <v>0</v>
      </c>
      <c r="G234" s="36"/>
    </row>
    <row r="235" spans="1:13">
      <c r="A235" s="13"/>
      <c r="B235" s="38" t="s">
        <v>232</v>
      </c>
      <c r="C235" s="35" t="b">
        <v>0</v>
      </c>
      <c r="G235" s="36"/>
    </row>
    <row r="236" spans="1:13">
      <c r="A236" s="13"/>
      <c r="B236" s="38" t="s">
        <v>233</v>
      </c>
      <c r="C236" s="35" t="b">
        <v>0</v>
      </c>
      <c r="G236" s="36"/>
    </row>
    <row r="237" spans="1:13">
      <c r="A237" s="13"/>
      <c r="B237" s="38" t="s">
        <v>234</v>
      </c>
      <c r="C237" s="35" t="b">
        <v>0</v>
      </c>
      <c r="G237" s="36"/>
    </row>
    <row r="238" spans="1:13">
      <c r="A238" s="13"/>
      <c r="B238" s="37" t="s">
        <v>235</v>
      </c>
      <c r="C238" s="35" t="b">
        <v>0</v>
      </c>
      <c r="G238" s="36"/>
    </row>
    <row r="239" spans="1:13">
      <c r="A239" s="13"/>
      <c r="B239" s="38" t="s">
        <v>236</v>
      </c>
      <c r="C239" s="35" t="b">
        <v>0</v>
      </c>
      <c r="G239" s="36"/>
    </row>
    <row r="240" spans="1:13">
      <c r="A240" s="13"/>
      <c r="B240" s="38" t="s">
        <v>237</v>
      </c>
      <c r="C240" s="35" t="b">
        <v>0</v>
      </c>
      <c r="G240" s="36"/>
    </row>
    <row r="241" spans="1:7">
      <c r="A241" s="13"/>
      <c r="B241" s="37" t="s">
        <v>238</v>
      </c>
      <c r="C241" s="35" t="b">
        <v>0</v>
      </c>
      <c r="G241" s="36"/>
    </row>
    <row r="242" spans="1:7">
      <c r="A242" s="13"/>
      <c r="B242" s="38" t="s">
        <v>239</v>
      </c>
      <c r="C242" s="35" t="b">
        <v>0</v>
      </c>
      <c r="G242" s="36"/>
    </row>
    <row r="243" spans="1:7">
      <c r="A243" s="13"/>
      <c r="B243" s="38" t="s">
        <v>240</v>
      </c>
      <c r="C243" s="35" t="b">
        <v>0</v>
      </c>
      <c r="G243" s="36"/>
    </row>
    <row r="244" spans="1:7">
      <c r="A244" s="13"/>
      <c r="B244" s="38" t="s">
        <v>241</v>
      </c>
      <c r="C244" s="35" t="b">
        <v>0</v>
      </c>
      <c r="G244" s="36"/>
    </row>
    <row r="245" spans="1:7">
      <c r="A245" s="13"/>
      <c r="B245" s="37" t="s">
        <v>242</v>
      </c>
      <c r="C245" s="35" t="b">
        <v>0</v>
      </c>
      <c r="G245" s="36"/>
    </row>
    <row r="246" spans="1:7">
      <c r="A246" s="13"/>
      <c r="B246" s="38" t="s">
        <v>243</v>
      </c>
      <c r="C246" s="35" t="b">
        <v>0</v>
      </c>
      <c r="G246" s="36"/>
    </row>
    <row r="247" spans="1:7">
      <c r="A247" s="13"/>
      <c r="B247" s="38" t="s">
        <v>244</v>
      </c>
      <c r="C247" s="35" t="b">
        <v>0</v>
      </c>
      <c r="G247" s="36"/>
    </row>
    <row r="248" spans="1:7">
      <c r="A248" s="13"/>
      <c r="B248" s="38" t="s">
        <v>245</v>
      </c>
      <c r="C248" s="35" t="b">
        <v>0</v>
      </c>
      <c r="G248" s="36"/>
    </row>
    <row r="249" spans="1:7">
      <c r="A249" s="13"/>
      <c r="B249" s="38" t="s">
        <v>246</v>
      </c>
      <c r="C249" s="35" t="b">
        <v>0</v>
      </c>
      <c r="G249" s="36"/>
    </row>
    <row r="250" spans="1:7">
      <c r="A250" s="13"/>
      <c r="B250" s="38" t="s">
        <v>247</v>
      </c>
      <c r="C250" s="35" t="b">
        <v>0</v>
      </c>
      <c r="G250" s="36"/>
    </row>
    <row r="251" ht="18.35" spans="1:7">
      <c r="A251" s="13"/>
      <c r="B251" s="39" t="s">
        <v>248</v>
      </c>
      <c r="C251" s="40" t="b">
        <v>0</v>
      </c>
      <c r="D251" s="41"/>
      <c r="E251" s="41"/>
      <c r="F251" s="41"/>
      <c r="G251" s="42"/>
    </row>
    <row r="252" spans="1:7">
      <c r="A252" s="13"/>
      <c r="B252" s="43" t="s">
        <v>249</v>
      </c>
      <c r="C252" s="35" t="b">
        <v>0</v>
      </c>
      <c r="G252" s="36"/>
    </row>
    <row r="253" spans="1:7">
      <c r="A253" s="13"/>
      <c r="B253" s="44" t="s">
        <v>250</v>
      </c>
      <c r="C253" s="35" t="b">
        <v>0</v>
      </c>
      <c r="G253" s="36"/>
    </row>
    <row r="254" spans="1:7">
      <c r="A254" s="13"/>
      <c r="B254" s="38" t="s">
        <v>251</v>
      </c>
      <c r="C254" s="35" t="b">
        <v>1</v>
      </c>
      <c r="G254" s="36"/>
    </row>
    <row r="255" spans="1:7">
      <c r="A255" s="13"/>
      <c r="B255" s="38" t="s">
        <v>252</v>
      </c>
      <c r="C255" s="35" t="b">
        <v>1</v>
      </c>
      <c r="E255" s="45" t="s">
        <v>10</v>
      </c>
      <c r="F255" s="45">
        <v>20</v>
      </c>
      <c r="G255" s="36"/>
    </row>
    <row r="256" spans="1:7">
      <c r="A256" s="13"/>
      <c r="B256" s="38" t="s">
        <v>253</v>
      </c>
      <c r="C256" s="35" t="b">
        <v>0</v>
      </c>
      <c r="E256" s="45" t="s">
        <v>12</v>
      </c>
      <c r="F256" s="45">
        <f>COUNTIF(C252:C271,TRUE)</f>
        <v>2</v>
      </c>
      <c r="G256" s="36"/>
    </row>
    <row r="257" spans="1:7">
      <c r="A257" s="13"/>
      <c r="B257" s="38" t="s">
        <v>254</v>
      </c>
      <c r="C257" s="35" t="b">
        <v>0</v>
      </c>
      <c r="E257" s="45" t="s">
        <v>14</v>
      </c>
      <c r="F257" s="45">
        <f>F255-F256</f>
        <v>18</v>
      </c>
      <c r="G257" s="36"/>
    </row>
    <row r="258" spans="1:7">
      <c r="A258" s="13"/>
      <c r="B258" s="44" t="s">
        <v>255</v>
      </c>
      <c r="C258" s="35" t="b">
        <v>0</v>
      </c>
      <c r="E258" s="45" t="s">
        <v>16</v>
      </c>
      <c r="F258" s="46">
        <f>F256/F255</f>
        <v>0.1</v>
      </c>
      <c r="G258" s="36"/>
    </row>
    <row r="259" spans="1:7">
      <c r="A259" s="13"/>
      <c r="B259" s="34" t="s">
        <v>256</v>
      </c>
      <c r="C259" s="35" t="b">
        <v>0</v>
      </c>
      <c r="G259" s="36"/>
    </row>
    <row r="260" spans="1:7">
      <c r="A260" s="13"/>
      <c r="B260" s="37" t="s">
        <v>257</v>
      </c>
      <c r="C260" s="35" t="b">
        <v>0</v>
      </c>
      <c r="G260" s="36"/>
    </row>
    <row r="261" spans="1:7">
      <c r="A261" s="13"/>
      <c r="B261" s="34" t="s">
        <v>258</v>
      </c>
      <c r="C261" s="35" t="b">
        <v>0</v>
      </c>
      <c r="G261" s="36"/>
    </row>
    <row r="262" spans="1:7">
      <c r="A262" s="13"/>
      <c r="B262" s="34" t="s">
        <v>259</v>
      </c>
      <c r="C262" s="35" t="b">
        <v>0</v>
      </c>
      <c r="G262" s="36"/>
    </row>
    <row r="263" spans="1:7">
      <c r="A263" s="13"/>
      <c r="B263" s="34" t="s">
        <v>260</v>
      </c>
      <c r="C263" s="35" t="b">
        <v>0</v>
      </c>
      <c r="G263" s="36"/>
    </row>
    <row r="264" spans="1:7">
      <c r="A264" s="13"/>
      <c r="B264" s="34" t="s">
        <v>261</v>
      </c>
      <c r="C264" s="35" t="b">
        <v>0</v>
      </c>
      <c r="G264" s="36"/>
    </row>
    <row r="265" ht="36" spans="1:7">
      <c r="A265" s="13"/>
      <c r="B265" s="47" t="s">
        <v>262</v>
      </c>
      <c r="C265" s="35" t="b">
        <v>0</v>
      </c>
      <c r="G265" s="36"/>
    </row>
    <row r="266" spans="1:7">
      <c r="A266" s="13"/>
      <c r="B266" s="34" t="s">
        <v>263</v>
      </c>
      <c r="C266" s="35" t="b">
        <v>0</v>
      </c>
      <c r="G266" s="36"/>
    </row>
    <row r="267" spans="1:7">
      <c r="A267" s="13"/>
      <c r="B267" s="48" t="s">
        <v>264</v>
      </c>
      <c r="C267" s="35" t="b">
        <v>0</v>
      </c>
      <c r="G267" s="36"/>
    </row>
    <row r="268" spans="1:7">
      <c r="A268" s="13"/>
      <c r="B268" s="34" t="s">
        <v>265</v>
      </c>
      <c r="C268" s="35" t="b">
        <v>0</v>
      </c>
      <c r="G268" s="36"/>
    </row>
    <row r="269" spans="1:7">
      <c r="A269" s="13"/>
      <c r="B269" s="34" t="s">
        <v>266</v>
      </c>
      <c r="C269" s="35" t="b">
        <v>0</v>
      </c>
      <c r="G269" s="36"/>
    </row>
    <row r="270" spans="1:7">
      <c r="A270" s="13"/>
      <c r="B270" s="48" t="s">
        <v>267</v>
      </c>
      <c r="C270" s="35" t="b">
        <v>0</v>
      </c>
      <c r="G270" s="36"/>
    </row>
    <row r="271" ht="18.35" spans="1:7">
      <c r="A271" s="13"/>
      <c r="B271" s="49" t="s">
        <v>268</v>
      </c>
      <c r="C271" s="40" t="b">
        <v>0</v>
      </c>
      <c r="D271" s="41"/>
      <c r="E271" s="41"/>
      <c r="F271" s="41"/>
      <c r="G271" s="42"/>
    </row>
    <row r="272" spans="1:7">
      <c r="A272" s="13"/>
      <c r="B272" s="50" t="s">
        <v>269</v>
      </c>
      <c r="C272" s="35" t="b">
        <v>0</v>
      </c>
      <c r="G272" s="36"/>
    </row>
    <row r="273" spans="1:7">
      <c r="A273" s="13"/>
      <c r="B273" s="48" t="s">
        <v>270</v>
      </c>
      <c r="C273" s="35" t="b">
        <v>1</v>
      </c>
      <c r="G273" s="36"/>
    </row>
    <row r="274" spans="1:7">
      <c r="A274" s="13"/>
      <c r="B274" s="48" t="s">
        <v>271</v>
      </c>
      <c r="C274" s="35" t="b">
        <v>0</v>
      </c>
      <c r="E274" s="45" t="s">
        <v>10</v>
      </c>
      <c r="F274" s="45">
        <v>13</v>
      </c>
      <c r="G274" s="36"/>
    </row>
    <row r="275" spans="1:7">
      <c r="A275" s="13"/>
      <c r="B275" s="48" t="s">
        <v>272</v>
      </c>
      <c r="C275" s="35" t="b">
        <v>0</v>
      </c>
      <c r="E275" s="45" t="s">
        <v>12</v>
      </c>
      <c r="F275" s="45">
        <f>COUNTIF(C272:C284,TRUE)</f>
        <v>2</v>
      </c>
      <c r="G275" s="36"/>
    </row>
    <row r="276" spans="1:7">
      <c r="A276" s="13"/>
      <c r="B276" s="48" t="s">
        <v>273</v>
      </c>
      <c r="C276" s="35" t="b">
        <v>1</v>
      </c>
      <c r="E276" s="45" t="s">
        <v>14</v>
      </c>
      <c r="F276" s="45">
        <f>F274-F275</f>
        <v>11</v>
      </c>
      <c r="G276" s="36"/>
    </row>
    <row r="277" spans="1:7">
      <c r="A277" s="13"/>
      <c r="B277" s="48" t="s">
        <v>274</v>
      </c>
      <c r="C277" s="35" t="b">
        <v>0</v>
      </c>
      <c r="E277" s="45" t="s">
        <v>16</v>
      </c>
      <c r="F277" s="46">
        <f>F275/F274</f>
        <v>0.153846153846154</v>
      </c>
      <c r="G277" s="36"/>
    </row>
    <row r="278" spans="1:7">
      <c r="A278" s="13"/>
      <c r="B278" s="48" t="s">
        <v>275</v>
      </c>
      <c r="C278" s="35" t="b">
        <v>0</v>
      </c>
      <c r="G278" s="36"/>
    </row>
    <row r="279" spans="1:7">
      <c r="A279" s="13"/>
      <c r="B279" s="48" t="s">
        <v>276</v>
      </c>
      <c r="C279" s="35" t="b">
        <v>0</v>
      </c>
      <c r="G279" s="36"/>
    </row>
    <row r="280" spans="1:7">
      <c r="A280" s="13"/>
      <c r="B280" s="48" t="s">
        <v>277</v>
      </c>
      <c r="C280" s="35" t="b">
        <v>0</v>
      </c>
      <c r="G280" s="36"/>
    </row>
    <row r="281" spans="1:7">
      <c r="A281" s="13"/>
      <c r="B281" s="48" t="s">
        <v>278</v>
      </c>
      <c r="C281" s="35" t="b">
        <v>0</v>
      </c>
      <c r="G281" s="36"/>
    </row>
    <row r="282" spans="1:7">
      <c r="A282" s="13"/>
      <c r="B282" s="48" t="s">
        <v>279</v>
      </c>
      <c r="C282" s="35" t="b">
        <v>0</v>
      </c>
      <c r="G282" s="36"/>
    </row>
    <row r="283" spans="1:7">
      <c r="A283" s="13"/>
      <c r="B283" s="48" t="s">
        <v>280</v>
      </c>
      <c r="C283" s="35" t="b">
        <v>0</v>
      </c>
      <c r="G283" s="36"/>
    </row>
    <row r="284" ht="18.35" spans="1:7">
      <c r="A284" s="13"/>
      <c r="B284" s="49" t="s">
        <v>281</v>
      </c>
      <c r="C284" s="40" t="b">
        <v>0</v>
      </c>
      <c r="D284" s="41"/>
      <c r="E284" s="41"/>
      <c r="F284" s="41"/>
      <c r="G284" s="42"/>
    </row>
    <row r="285" spans="1:7">
      <c r="A285" s="13"/>
      <c r="B285" s="50" t="s">
        <v>282</v>
      </c>
      <c r="C285" s="35" t="b">
        <v>0</v>
      </c>
      <c r="G285" s="36"/>
    </row>
    <row r="286" spans="1:7">
      <c r="A286" s="13"/>
      <c r="B286" s="48" t="s">
        <v>283</v>
      </c>
      <c r="C286" s="35" t="b">
        <v>0</v>
      </c>
      <c r="D286" s="51"/>
      <c r="E286" s="51" t="s">
        <v>10</v>
      </c>
      <c r="F286" s="51">
        <v>5</v>
      </c>
      <c r="G286" s="36"/>
    </row>
    <row r="287" spans="1:7">
      <c r="A287" s="13"/>
      <c r="B287" s="34" t="s">
        <v>284</v>
      </c>
      <c r="C287" s="35" t="b">
        <v>1</v>
      </c>
      <c r="D287" s="51"/>
      <c r="E287" s="51" t="s">
        <v>12</v>
      </c>
      <c r="F287" s="51">
        <f>COUNTIF(C285:C289,TRUE)</f>
        <v>1</v>
      </c>
      <c r="G287" s="36"/>
    </row>
    <row r="288" spans="1:7">
      <c r="A288" s="13"/>
      <c r="B288" s="48" t="s">
        <v>285</v>
      </c>
      <c r="C288" s="35" t="b">
        <v>0</v>
      </c>
      <c r="D288" s="51"/>
      <c r="E288" s="51" t="s">
        <v>14</v>
      </c>
      <c r="F288" s="51">
        <f>F286-F287</f>
        <v>4</v>
      </c>
      <c r="G288" s="36"/>
    </row>
    <row r="289" ht="18.35" spans="1:7">
      <c r="A289" s="13"/>
      <c r="B289" s="48" t="s">
        <v>286</v>
      </c>
      <c r="C289" s="52" t="b">
        <v>0</v>
      </c>
      <c r="D289" s="53"/>
      <c r="E289" s="53" t="s">
        <v>16</v>
      </c>
      <c r="F289" s="54">
        <f>F287/F286</f>
        <v>0.2</v>
      </c>
      <c r="G289" s="42"/>
    </row>
  </sheetData>
  <mergeCells count="15">
    <mergeCell ref="A8:A33"/>
    <mergeCell ref="A34:A59"/>
    <mergeCell ref="A60:A73"/>
    <mergeCell ref="A74:A83"/>
    <mergeCell ref="A84:A98"/>
    <mergeCell ref="A99:A109"/>
    <mergeCell ref="A110:A112"/>
    <mergeCell ref="A113:A150"/>
    <mergeCell ref="A151:A192"/>
    <mergeCell ref="A193:A221"/>
    <mergeCell ref="A222:A251"/>
    <mergeCell ref="A252:A271"/>
    <mergeCell ref="A272:A284"/>
    <mergeCell ref="A285:A289"/>
    <mergeCell ref="B3:B5"/>
  </mergeCells>
  <conditionalFormatting sqref="B3:B5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{a5e6a126-9986-4f31-b91c-0f6aa9440ba0}</x14:id>
        </ext>
      </extLst>
    </cfRule>
  </conditionalFormatting>
  <conditionalFormatting sqref="B8:B289">
    <cfRule type="expression" dxfId="0" priority="2">
      <formula>C8=TRUE</formula>
    </cfRule>
  </conditionalFormatting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e6a126-9986-4f31-b91c-0f6aa9440ba0}">
            <x14:dataBar minLength="0" maxLength="100" axisPosition="none">
              <x14:cfvo type="num">
                <xm:f>0</xm:f>
              </x14:cfvo>
              <x14:cfvo type="num">
                <xm:f>1</xm:f>
              </x14:cfvo>
              <x14:negativeFillColor theme="9"/>
              <x14:axisColor indexed="65"/>
            </x14:dataBar>
          </x14:cfRule>
          <xm:sqref>B3:B5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42"/>
  <sheetViews>
    <sheetView topLeftCell="A35" workbookViewId="0">
      <selection activeCell="B43" sqref="B43"/>
    </sheetView>
  </sheetViews>
  <sheetFormatPr defaultColWidth="11" defaultRowHeight="17.6" outlineLevelCol="1"/>
  <cols>
    <col min="2" max="2" width="66.8303571428571" customWidth="1"/>
  </cols>
  <sheetData>
    <row r="3" ht="40" customHeight="1" spans="2:2">
      <c r="B3" s="1" t="s">
        <v>113</v>
      </c>
    </row>
    <row r="4" ht="40" customHeight="1" spans="2:2">
      <c r="B4" s="2" t="s">
        <v>114</v>
      </c>
    </row>
    <row r="5" ht="40" customHeight="1" spans="2:2">
      <c r="B5" s="2" t="s">
        <v>115</v>
      </c>
    </row>
    <row r="6" ht="40" customHeight="1" spans="2:2">
      <c r="B6" s="2" t="s">
        <v>116</v>
      </c>
    </row>
    <row r="7" ht="40" customHeight="1" spans="2:2">
      <c r="B7" s="2" t="s">
        <v>117</v>
      </c>
    </row>
    <row r="8" ht="40" customHeight="1" spans="2:2">
      <c r="B8" s="2" t="s">
        <v>118</v>
      </c>
    </row>
    <row r="9" ht="40" customHeight="1" spans="2:2">
      <c r="B9" s="2" t="s">
        <v>119</v>
      </c>
    </row>
    <row r="10" ht="40" customHeight="1" spans="2:2">
      <c r="B10" s="2" t="s">
        <v>120</v>
      </c>
    </row>
    <row r="11" ht="53" spans="2:2">
      <c r="B11" s="3" t="s">
        <v>287</v>
      </c>
    </row>
    <row r="12" ht="40" customHeight="1" spans="2:2">
      <c r="B12" s="3" t="s">
        <v>288</v>
      </c>
    </row>
    <row r="13" ht="40" customHeight="1" spans="2:2">
      <c r="B13" s="2" t="s">
        <v>122</v>
      </c>
    </row>
    <row r="14" ht="40" customHeight="1" spans="2:2">
      <c r="B14" s="2" t="s">
        <v>123</v>
      </c>
    </row>
    <row r="15" ht="40" customHeight="1" spans="2:2">
      <c r="B15" s="2" t="s">
        <v>289</v>
      </c>
    </row>
    <row r="16" ht="40" customHeight="1" spans="2:2">
      <c r="B16" s="2" t="s">
        <v>290</v>
      </c>
    </row>
    <row r="17" ht="40" customHeight="1" spans="2:2">
      <c r="B17" s="2" t="s">
        <v>125</v>
      </c>
    </row>
    <row r="18" ht="40" customHeight="1" spans="2:2">
      <c r="B18" s="3" t="s">
        <v>291</v>
      </c>
    </row>
    <row r="19" ht="40" customHeight="1" spans="2:2">
      <c r="B19" s="2" t="s">
        <v>126</v>
      </c>
    </row>
    <row r="20" ht="40" customHeight="1" spans="2:2">
      <c r="B20" s="2" t="s">
        <v>127</v>
      </c>
    </row>
    <row r="21" ht="40" customHeight="1" spans="2:2">
      <c r="B21" s="2" t="s">
        <v>128</v>
      </c>
    </row>
    <row r="22" ht="40" customHeight="1" spans="2:2">
      <c r="B22" s="2" t="s">
        <v>129</v>
      </c>
    </row>
    <row r="23" ht="40" customHeight="1" spans="2:2">
      <c r="B23" s="2" t="s">
        <v>130</v>
      </c>
    </row>
    <row r="24" ht="40" customHeight="1" spans="2:2">
      <c r="B24" s="2" t="s">
        <v>131</v>
      </c>
    </row>
    <row r="25" ht="40" customHeight="1" spans="2:2">
      <c r="B25" s="2" t="s">
        <v>132</v>
      </c>
    </row>
    <row r="26" ht="40" customHeight="1" spans="2:2">
      <c r="B26" s="2" t="s">
        <v>133</v>
      </c>
    </row>
    <row r="27" ht="40" customHeight="1" spans="2:2">
      <c r="B27" s="3" t="s">
        <v>292</v>
      </c>
    </row>
    <row r="28" ht="40" customHeight="1" spans="2:2">
      <c r="B28" s="2" t="s">
        <v>134</v>
      </c>
    </row>
    <row r="29" ht="40" customHeight="1" spans="2:2">
      <c r="B29" s="2" t="s">
        <v>135</v>
      </c>
    </row>
    <row r="30" ht="40" customHeight="1" spans="2:2">
      <c r="B30" s="2" t="s">
        <v>136</v>
      </c>
    </row>
    <row r="31" ht="40" customHeight="1" spans="2:2">
      <c r="B31" s="2" t="s">
        <v>137</v>
      </c>
    </row>
    <row r="32" ht="40" customHeight="1" spans="2:2">
      <c r="B32" s="2" t="s">
        <v>138</v>
      </c>
    </row>
    <row r="33" ht="40" customHeight="1" spans="2:2">
      <c r="B33" s="2" t="s">
        <v>139</v>
      </c>
    </row>
    <row r="34" ht="40" customHeight="1" spans="2:2">
      <c r="B34" s="2" t="s">
        <v>140</v>
      </c>
    </row>
    <row r="35" ht="40" customHeight="1" spans="2:2">
      <c r="B35" s="2" t="s">
        <v>141</v>
      </c>
    </row>
    <row r="36" ht="40" customHeight="1" spans="2:2">
      <c r="B36" s="2" t="s">
        <v>142</v>
      </c>
    </row>
    <row r="37" ht="40" customHeight="1" spans="2:2">
      <c r="B37" s="2" t="s">
        <v>143</v>
      </c>
    </row>
    <row r="38" ht="40" customHeight="1" spans="2:2">
      <c r="B38" s="2" t="s">
        <v>144</v>
      </c>
    </row>
    <row r="39" ht="40" customHeight="1" spans="2:2">
      <c r="B39" s="3" t="s">
        <v>293</v>
      </c>
    </row>
    <row r="40" ht="40" customHeight="1" spans="2:2">
      <c r="B40" s="2" t="s">
        <v>145</v>
      </c>
    </row>
    <row r="41" ht="40" customHeight="1" spans="2:2">
      <c r="B41" s="2" t="s">
        <v>146</v>
      </c>
    </row>
    <row r="42" ht="40" customHeight="1" spans="2:2">
      <c r="B42" s="4" t="s">
        <v>147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Edital PRF</vt:lpstr>
      <vt:lpstr>Resoluções CONTRAN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Isakiel Souza</cp:lastModifiedBy>
  <dcterms:created xsi:type="dcterms:W3CDTF">2026-03-16T13:19:00Z</dcterms:created>
  <dcterms:modified xsi:type="dcterms:W3CDTF">2026-03-21T16:24:03Z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8AD12D4FB1C6C2D353F0BE6996988B64_42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0</vt:i4>
  </property>
</Properties>
</file>